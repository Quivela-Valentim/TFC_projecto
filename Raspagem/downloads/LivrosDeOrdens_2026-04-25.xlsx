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<sst xmlns="http://schemas.openxmlformats.org/spreadsheetml/2006/main" uniqueCount="259">
  <si>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Livro de Ordens - 25/04/2026 17:35:24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</si>
  <si>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</si>
  <si>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</si>
  <si>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</si>
  <si>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</si>
  <si>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</si>
  <si>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</si>
  <si>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</si>
  <si>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</si>
  <si>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</si>
  <si>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</si>
  <si>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</si>
  <si>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</si>
  <si>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</si>
  <si>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</si>
  <si>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</si>
  <si>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</si>
  <si>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</si>
  <si>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</si>
  <si>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</si>
  <si>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</si>
  <si>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</si>
  <si>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</si>
  <si>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</si>
  <si>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</si>
  <si>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</si>
  <si>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</si>
  <si>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</si>
  <si>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</si>
  <si>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</si>
  <si>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</si>
  <si>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</si>
  <si>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</si>
  <si>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</si>
  <si>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</si>
  <si>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</si>
  <si>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</si>
  <si>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</si>
  <si>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</si>
  <si>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</si>
  <si>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</si>
  <si>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</si>
  <si>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</si>
  <si>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</si>
  <si>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</si>
  <si>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</si>
  <si>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BE15I26A</t>
  </si>
  <si>
    <t>AOUGDBEI25D5</t>
  </si>
  <si>
    <t>2025-05-16</t>
  </si>
  <si>
    <t>2026-05-15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</si>
  <si>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</si>
  <si>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</si>
  <si>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</si>
  <si>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</si>
  <si>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</si>
  <si>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</si>
  <si>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</si>
  <si>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</si>
  <si>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</si>
  <si>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</si>
  <si>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</si>
  <si>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</si>
  <si>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</si>
  <si>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</si>
  <si>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</si>
  <si>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</si>
  <si>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</si>
  <si>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</si>
  <si>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</si>
  <si>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</si>
  <si>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</si>
  <si>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</si>
  <si>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</si>
  <si>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</si>
  <si>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</si>
  <si>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</si>
  <si>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</si>
  <si>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</si>
  <si>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</si>
  <si>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</si>
  <si>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</si>
  <si>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</si>
  <si>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</si>
  <si>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</si>
  <si>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</si>
  <si>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</si>
  <si>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</si>
  <si>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</si>
  <si>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</si>
  <si>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</si>
  <si>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</si>
  <si>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</si>
  <si>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</si>
  <si>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</si>
  <si>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</si>
  <si>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</si>
  <si>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</si>
  <si>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</si>
  <si>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</si>
  <si>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</si>
  <si>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</si>
  <si>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</si>
  <si>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</si>
  <si>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</si>
  <si>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</si>
  <si>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</si>
  <si>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</si>
  <si>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</si>
  <si>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</si>
  <si>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</si>
  <si>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</si>
  <si>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</si>
  <si>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</si>
  <si>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</si>
  <si>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</si>
  <si>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</si>
  <si>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</si>
  <si>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</si>
  <si>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</si>
  <si>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</si>
  <si>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</si>
  <si>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</si>
  <si>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</si>
  <si>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</si>
  <si>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</si>
  <si>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</si>
  <si>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</si>
  <si>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OH08D26B</t>
  </si>
  <si>
    <t>AOUGDOHD22B3</t>
  </si>
  <si>
    <t>2022-12-08</t>
  </si>
  <si>
    <t>2026-12-08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</si>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</sst>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7"/>
  <sheetViews>
    <sheetView tabSelected="1" workbookViewId="0" showGridLines="true" showRowColHeaders="1">
      <selection activeCell="A1" sqref="A1:N17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12</v>
      </c>
      <c r="J4" s="14">
        <v>67500</v>
      </c>
      <c r="K4" s="16">
        <f>(D4/H4)</f>
        <v>0.037951418181818</v>
      </c>
      <c r="L4" s="12">
        <v>81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2</v>
      </c>
      <c r="J5" s="15">
        <v>67000</v>
      </c>
      <c r="K5" s="17">
        <f>(D5/H5)</f>
        <v>0.037951418181818</v>
      </c>
      <c r="L5" s="13">
        <v>15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6</v>
      </c>
      <c r="J6" s="14">
        <v>66000</v>
      </c>
      <c r="K6" s="16">
        <f>(D6/H6)</f>
        <v>0.037951418181818</v>
      </c>
      <c r="L6" s="12">
        <v>5</v>
      </c>
      <c r="M6" s="14">
        <v>70000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1</v>
      </c>
      <c r="J7" s="15">
        <v>65500</v>
      </c>
      <c r="K7" s="17">
        <f>(D7/H7)</f>
        <v>0.037951418181818</v>
      </c>
      <c r="L7" s="13">
        <v>2</v>
      </c>
      <c r="M7" s="15">
        <v>72000</v>
      </c>
      <c r="N7" s="17">
        <f>(D7/H7)</f>
        <v>0.037951418181818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5</v>
      </c>
      <c r="J8" s="14">
        <v>65000</v>
      </c>
      <c r="K8" s="16">
        <f>(D8/H8)</f>
        <v>0.037951418181818</v>
      </c>
      <c r="L8" s="12">
        <v>1</v>
      </c>
      <c r="M8" s="14">
        <v>76500</v>
      </c>
      <c r="N8" s="16">
        <f>(D8/H8)</f>
        <v>0.037951418181818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2</v>
      </c>
      <c r="J9" s="15">
        <v>64000</v>
      </c>
      <c r="K9" s="17">
        <f>(D9/H9)</f>
        <v>0.037951418181818</v>
      </c>
      <c r="L9" s="13">
        <v>1008</v>
      </c>
      <c r="M9" s="15">
        <v>78000</v>
      </c>
      <c r="N9" s="17">
        <f>(D9/H9)</f>
        <v>0.037951418181818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68750.0</v>
      </c>
      <c r="I10" s="12">
        <v>4</v>
      </c>
      <c r="J10" s="14">
        <v>62500</v>
      </c>
      <c r="K10" s="16">
        <f>(D10/H10)</f>
        <v>0.037951418181818</v>
      </c>
      <c r="L10" s="12">
        <v>2</v>
      </c>
      <c r="M10" s="14">
        <v>79000</v>
      </c>
      <c r="N10" s="16">
        <f>(D10/H10)</f>
        <v>0.037951418181818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68750.0</v>
      </c>
      <c r="I11" s="13" t="s">
        <v>18</v>
      </c>
      <c r="J11" s="15" t="s">
        <v>18</v>
      </c>
      <c r="K11" s="17" t="s">
        <v>18</v>
      </c>
      <c r="L11" s="13">
        <v>15</v>
      </c>
      <c r="M11" s="15">
        <v>81000</v>
      </c>
      <c r="N11" s="17">
        <f>(D11/H11)</f>
        <v>0.037951418181818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108000.0</v>
      </c>
      <c r="I12" s="12">
        <v>2</v>
      </c>
      <c r="J12" s="14">
        <v>107800</v>
      </c>
      <c r="K12" s="16">
        <f>(D12/H12)</f>
        <v>0.070380462962963</v>
      </c>
      <c r="L12" s="12">
        <v>10</v>
      </c>
      <c r="M12" s="14">
        <v>109999</v>
      </c>
      <c r="N12" s="16">
        <f>(D12/H12)</f>
        <v>0.070380462962963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108000.0</v>
      </c>
      <c r="I13" s="13">
        <v>10</v>
      </c>
      <c r="J13" s="15">
        <v>107000</v>
      </c>
      <c r="K13" s="17">
        <f>(D13/H13)</f>
        <v>0.070380462962963</v>
      </c>
      <c r="L13" s="13">
        <v>76</v>
      </c>
      <c r="M13" s="15">
        <v>110000</v>
      </c>
      <c r="N13" s="17">
        <f>(D13/H13)</f>
        <v>0.070380462962963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108000.0</v>
      </c>
      <c r="I14" s="12">
        <v>17</v>
      </c>
      <c r="J14" s="14">
        <v>105000</v>
      </c>
      <c r="K14" s="16">
        <f>(D14/H14)</f>
        <v>0.070380462962963</v>
      </c>
      <c r="L14" s="12">
        <v>100</v>
      </c>
      <c r="M14" s="14">
        <v>111000</v>
      </c>
      <c r="N14" s="16">
        <f>(D14/H14)</f>
        <v>0.070380462962963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108000.0</v>
      </c>
      <c r="I15" s="13">
        <v>4</v>
      </c>
      <c r="J15" s="15">
        <v>100000</v>
      </c>
      <c r="K15" s="17">
        <f>(D15/H15)</f>
        <v>0.070380462962963</v>
      </c>
      <c r="L15" s="13">
        <v>28</v>
      </c>
      <c r="M15" s="15">
        <v>115000</v>
      </c>
      <c r="N15" s="17">
        <f>(D15/H15)</f>
        <v>0.070380462962963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108000.0</v>
      </c>
      <c r="I16" s="12">
        <v>2</v>
      </c>
      <c r="J16" s="14">
        <v>98499</v>
      </c>
      <c r="K16" s="16">
        <f>(D16/H16)</f>
        <v>0.070380462962963</v>
      </c>
      <c r="L16" s="12">
        <v>5</v>
      </c>
      <c r="M16" s="14">
        <v>116000</v>
      </c>
      <c r="N16" s="16">
        <f>(D16/H16)</f>
        <v>0.070380462962963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108000.0</v>
      </c>
      <c r="I17" s="13">
        <v>4</v>
      </c>
      <c r="J17" s="15">
        <v>90000</v>
      </c>
      <c r="K17" s="17">
        <f>(D17/H17)</f>
        <v>0.070380462962963</v>
      </c>
      <c r="L17" s="13">
        <v>5</v>
      </c>
      <c r="M17" s="15">
        <v>120000</v>
      </c>
      <c r="N17" s="17">
        <f>(D17/H17)</f>
        <v>0.070380462962963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108000.0</v>
      </c>
      <c r="I18" s="12" t="s">
        <v>18</v>
      </c>
      <c r="J18" s="14" t="s">
        <v>18</v>
      </c>
      <c r="K18" s="16" t="s">
        <v>18</v>
      </c>
      <c r="L18" s="12">
        <v>1</v>
      </c>
      <c r="M18" s="14">
        <v>122000</v>
      </c>
      <c r="N18" s="16">
        <f>(D18/H18)</f>
        <v>0.070380462962963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108000.0</v>
      </c>
      <c r="I19" s="13" t="s">
        <v>18</v>
      </c>
      <c r="J19" s="15" t="s">
        <v>18</v>
      </c>
      <c r="K19" s="17" t="s">
        <v>18</v>
      </c>
      <c r="L19" s="13">
        <v>29</v>
      </c>
      <c r="M19" s="15">
        <v>125000</v>
      </c>
      <c r="N19" s="17">
        <f>(D19/H19)</f>
        <v>0.070380462962963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25800.0</v>
      </c>
      <c r="I20" s="12">
        <v>38</v>
      </c>
      <c r="J20" s="14">
        <v>25800</v>
      </c>
      <c r="K20" s="16">
        <f>(D20/H20)</f>
        <v>0.041919379844961</v>
      </c>
      <c r="L20" s="12">
        <v>488</v>
      </c>
      <c r="M20" s="14">
        <v>26000</v>
      </c>
      <c r="N20" s="16">
        <f>(D20/H20)</f>
        <v>0.041919379844961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25800.0</v>
      </c>
      <c r="I21" s="13">
        <v>2</v>
      </c>
      <c r="J21" s="15">
        <v>25030</v>
      </c>
      <c r="K21" s="17">
        <f>(D21/H21)</f>
        <v>0.041919379844961</v>
      </c>
      <c r="L21" s="13">
        <v>110</v>
      </c>
      <c r="M21" s="15">
        <v>26600</v>
      </c>
      <c r="N21" s="17">
        <f>(D21/H21)</f>
        <v>0.041919379844961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25800.0</v>
      </c>
      <c r="I22" s="12">
        <v>2</v>
      </c>
      <c r="J22" s="14">
        <v>25010</v>
      </c>
      <c r="K22" s="16">
        <f>(D22/H22)</f>
        <v>0.041919379844961</v>
      </c>
      <c r="L22" s="12">
        <v>38</v>
      </c>
      <c r="M22" s="14">
        <v>27800</v>
      </c>
      <c r="N22" s="16">
        <f>(D22/H22)</f>
        <v>0.041919379844961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25800.0</v>
      </c>
      <c r="I23" s="13">
        <v>3</v>
      </c>
      <c r="J23" s="15">
        <v>25000</v>
      </c>
      <c r="K23" s="17">
        <f>(D23/H23)</f>
        <v>0.041919379844961</v>
      </c>
      <c r="L23" s="13">
        <v>21151</v>
      </c>
      <c r="M23" s="15">
        <v>28000</v>
      </c>
      <c r="N23" s="17">
        <f>(D23/H23)</f>
        <v>0.041919379844961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25800.0</v>
      </c>
      <c r="I24" s="12">
        <v>396</v>
      </c>
      <c r="J24" s="14">
        <v>24000</v>
      </c>
      <c r="K24" s="16">
        <f>(D24/H24)</f>
        <v>0.041919379844961</v>
      </c>
      <c r="L24" s="12">
        <v>25</v>
      </c>
      <c r="M24" s="14">
        <v>28200</v>
      </c>
      <c r="N24" s="16">
        <f>(D24/H24)</f>
        <v>0.041919379844961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25800.0</v>
      </c>
      <c r="I25" s="13">
        <v>20</v>
      </c>
      <c r="J25" s="15">
        <v>23500</v>
      </c>
      <c r="K25" s="17">
        <f>(D25/H25)</f>
        <v>0.041919379844961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25800.0</v>
      </c>
      <c r="I26" s="12">
        <v>319</v>
      </c>
      <c r="J26" s="14">
        <v>23000</v>
      </c>
      <c r="K26" s="16">
        <f>(D26/H26)</f>
        <v>0.041919379844961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25800.0</v>
      </c>
      <c r="I27" s="13">
        <v>220</v>
      </c>
      <c r="J27" s="15">
        <v>22000</v>
      </c>
      <c r="K27" s="17">
        <f>(D27/H27)</f>
        <v>0.041919379844961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25800.0</v>
      </c>
      <c r="I28" s="12">
        <v>186</v>
      </c>
      <c r="J28" s="14">
        <v>21500</v>
      </c>
      <c r="K28" s="16">
        <f>(D28/H28)</f>
        <v>0.041919379844961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37000.0</v>
      </c>
      <c r="I29" s="13">
        <v>2</v>
      </c>
      <c r="J29" s="15">
        <v>37000</v>
      </c>
      <c r="K29" s="17">
        <f>(D29/H29)</f>
        <v>0.043695405405405</v>
      </c>
      <c r="L29" s="13">
        <v>2</v>
      </c>
      <c r="M29" s="15">
        <v>40055</v>
      </c>
      <c r="N29" s="17">
        <f>(D29/H29)</f>
        <v>0.043695405405405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37000.0</v>
      </c>
      <c r="I30" s="12">
        <v>12</v>
      </c>
      <c r="J30" s="14">
        <v>35000</v>
      </c>
      <c r="K30" s="16">
        <f>(D30/H30)</f>
        <v>0.043695405405405</v>
      </c>
      <c r="L30" s="12">
        <v>120</v>
      </c>
      <c r="M30" s="14">
        <v>42900</v>
      </c>
      <c r="N30" s="16">
        <f>(D30/H30)</f>
        <v>0.043695405405405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37000.0</v>
      </c>
      <c r="I31" s="13">
        <v>4</v>
      </c>
      <c r="J31" s="15">
        <v>32000</v>
      </c>
      <c r="K31" s="17">
        <f>(D31/H31)</f>
        <v>0.043695405405405</v>
      </c>
      <c r="L31" s="13">
        <v>290</v>
      </c>
      <c r="M31" s="15">
        <v>44000</v>
      </c>
      <c r="N31" s="17">
        <f>(D31/H31)</f>
        <v>0.043695405405405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37000.0</v>
      </c>
      <c r="I32" s="12" t="s">
        <v>18</v>
      </c>
      <c r="J32" s="14" t="s">
        <v>18</v>
      </c>
      <c r="K32" s="16" t="s">
        <v>18</v>
      </c>
      <c r="L32" s="12">
        <v>14</v>
      </c>
      <c r="M32" s="14">
        <v>44200</v>
      </c>
      <c r="N32" s="16">
        <f>(D32/H32)</f>
        <v>0.043695405405405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37000.0</v>
      </c>
      <c r="I33" s="13" t="s">
        <v>18</v>
      </c>
      <c r="J33" s="15" t="s">
        <v>18</v>
      </c>
      <c r="K33" s="17" t="s">
        <v>18</v>
      </c>
      <c r="L33" s="13">
        <v>36</v>
      </c>
      <c r="M33" s="15">
        <v>45000</v>
      </c>
      <c r="N33" s="17">
        <f>(D33/H33)</f>
        <v>0.043695405405405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>
        <v>140</v>
      </c>
      <c r="J34" s="14">
        <v>105000</v>
      </c>
      <c r="K34" s="16">
        <f>(D34/H34)</f>
        <v>0.087027169811321</v>
      </c>
      <c r="L34" s="12">
        <v>78</v>
      </c>
      <c r="M34" s="14">
        <v>106000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>
        <v>100</v>
      </c>
      <c r="J35" s="15">
        <v>104000</v>
      </c>
      <c r="K35" s="17">
        <f>(D35/H35)</f>
        <v>0.087027169811321</v>
      </c>
      <c r="L35" s="13">
        <v>971</v>
      </c>
      <c r="M35" s="15">
        <v>107000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>
        <v>24</v>
      </c>
      <c r="J36" s="14">
        <v>100000</v>
      </c>
      <c r="K36" s="16">
        <f>(D36/H36)</f>
        <v>0.087027169811321</v>
      </c>
      <c r="L36" s="12">
        <v>23</v>
      </c>
      <c r="M36" s="14">
        <v>107500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18</v>
      </c>
      <c r="J37" s="15">
        <v>99000</v>
      </c>
      <c r="K37" s="17">
        <f>(D37/H37)</f>
        <v>0.087027169811321</v>
      </c>
      <c r="L37" s="13">
        <v>113</v>
      </c>
      <c r="M37" s="15">
        <v>109990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>
        <v>16</v>
      </c>
      <c r="J38" s="14">
        <v>90000</v>
      </c>
      <c r="K38" s="16">
        <f>(D38/H38)</f>
        <v>0.087027169811321</v>
      </c>
      <c r="L38" s="12">
        <v>7199</v>
      </c>
      <c r="M38" s="14">
        <v>110000</v>
      </c>
      <c r="N38" s="16">
        <f>(D38/H38)</f>
        <v>0.087027169811321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 t="s">
        <v>18</v>
      </c>
      <c r="J39" s="15" t="s">
        <v>18</v>
      </c>
      <c r="K39" s="17" t="s">
        <v>18</v>
      </c>
      <c r="L39" s="13">
        <v>142</v>
      </c>
      <c r="M39" s="15">
        <v>110999</v>
      </c>
      <c r="N39" s="17">
        <f>(D39/H39)</f>
        <v>0.087027169811321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106000.0</v>
      </c>
      <c r="I40" s="12" t="s">
        <v>18</v>
      </c>
      <c r="J40" s="14" t="s">
        <v>18</v>
      </c>
      <c r="K40" s="16" t="s">
        <v>18</v>
      </c>
      <c r="L40" s="12">
        <v>90</v>
      </c>
      <c r="M40" s="14">
        <v>113000</v>
      </c>
      <c r="N40" s="16">
        <f>(D40/H40)</f>
        <v>0.087027169811321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106000.0</v>
      </c>
      <c r="I41" s="13" t="s">
        <v>18</v>
      </c>
      <c r="J41" s="15" t="s">
        <v>18</v>
      </c>
      <c r="K41" s="17" t="s">
        <v>18</v>
      </c>
      <c r="L41" s="13">
        <v>749</v>
      </c>
      <c r="M41" s="15">
        <v>114001.99000000000524</v>
      </c>
      <c r="N41" s="17">
        <f>(D41/H41)</f>
        <v>0.087027169811321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 t="s">
        <v>18</v>
      </c>
      <c r="J42" s="14" t="s">
        <v>18</v>
      </c>
      <c r="K42" s="16" t="s">
        <v>18</v>
      </c>
      <c r="L42" s="12">
        <v>115</v>
      </c>
      <c r="M42" s="14">
        <v>115000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 t="s">
        <v>18</v>
      </c>
      <c r="J43" s="15" t="s">
        <v>18</v>
      </c>
      <c r="K43" s="17" t="s">
        <v>18</v>
      </c>
      <c r="L43" s="13">
        <v>36</v>
      </c>
      <c r="M43" s="15">
        <v>116000</v>
      </c>
      <c r="N43" s="17">
        <f>(D43/H43)</f>
        <v>0.087027169811321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106000.0</v>
      </c>
      <c r="I44" s="12" t="s">
        <v>18</v>
      </c>
      <c r="J44" s="14" t="s">
        <v>18</v>
      </c>
      <c r="K44" s="16" t="s">
        <v>18</v>
      </c>
      <c r="L44" s="12">
        <v>44</v>
      </c>
      <c r="M44" s="14">
        <v>120000</v>
      </c>
      <c r="N44" s="16">
        <f>(D44/H44)</f>
        <v>0.087027169811321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106000.0</v>
      </c>
      <c r="I45" s="13" t="s">
        <v>18</v>
      </c>
      <c r="J45" s="15" t="s">
        <v>18</v>
      </c>
      <c r="K45" s="17" t="s">
        <v>18</v>
      </c>
      <c r="L45" s="13">
        <v>50</v>
      </c>
      <c r="M45" s="15">
        <v>121000</v>
      </c>
      <c r="N45" s="17">
        <f>(D45/H45)</f>
        <v>0.087027169811321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106000.0</v>
      </c>
      <c r="I46" s="12" t="s">
        <v>18</v>
      </c>
      <c r="J46" s="14" t="s">
        <v>18</v>
      </c>
      <c r="K46" s="16" t="s">
        <v>18</v>
      </c>
      <c r="L46" s="12">
        <v>200</v>
      </c>
      <c r="M46" s="14">
        <v>122000</v>
      </c>
      <c r="N46" s="16">
        <f>(D46/H46)</f>
        <v>0.087027169811321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106000.0</v>
      </c>
      <c r="I47" s="13" t="s">
        <v>18</v>
      </c>
      <c r="J47" s="15" t="s">
        <v>18</v>
      </c>
      <c r="K47" s="17" t="s">
        <v>18</v>
      </c>
      <c r="L47" s="13">
        <v>68</v>
      </c>
      <c r="M47" s="15">
        <v>125000</v>
      </c>
      <c r="N47" s="17">
        <f>(D47/H47)</f>
        <v>0.087027169811321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99.89700000000001</v>
      </c>
      <c r="I48" s="12">
        <v>15</v>
      </c>
      <c r="J48" s="14">
        <v>99</v>
      </c>
      <c r="K48" s="16">
        <f>yield(+WORKDAY(TODAY(),1,0),G48,E48,J48,100,2,1)</f>
      </c>
      <c r="L48" s="12">
        <v>7</v>
      </c>
      <c r="M48" s="14">
        <v>110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99.89700000000001</v>
      </c>
      <c r="I49" s="13">
        <v>20</v>
      </c>
      <c r="J49" s="15">
        <v>96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99.89700000000001</v>
      </c>
      <c r="I50" s="12">
        <v>20</v>
      </c>
      <c r="J50" s="14">
        <v>90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113.8</v>
      </c>
      <c r="I51" s="13">
        <v>3093</v>
      </c>
      <c r="J51" s="15">
        <v>113.8</v>
      </c>
      <c r="K51" s="17">
        <f>L51/100</f>
        <v>1.5</v>
      </c>
      <c r="L51" s="13">
        <v>150</v>
      </c>
      <c r="M51" s="15">
        <v>115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113.8</v>
      </c>
      <c r="I52" s="12">
        <v>70</v>
      </c>
      <c r="J52" s="14">
        <v>105</v>
      </c>
      <c r="K52" s="16">
        <f>L52/100</f>
        <v>4</v>
      </c>
      <c r="L52" s="12">
        <v>400</v>
      </c>
      <c r="M52" s="14">
        <v>116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113.8</v>
      </c>
      <c r="I53" s="13">
        <v>8</v>
      </c>
      <c r="J53" s="15">
        <v>100</v>
      </c>
      <c r="K53" s="17">
        <f>L53/100</f>
        <v>3.2</v>
      </c>
      <c r="L53" s="13">
        <v>320</v>
      </c>
      <c r="M53" s="15">
        <v>118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113.8</v>
      </c>
      <c r="I54" s="12" t="s">
        <v>18</v>
      </c>
      <c r="J54" s="14" t="s">
        <v>18</v>
      </c>
      <c r="K54" s="16" t="s">
        <v>18</v>
      </c>
      <c r="L54" s="12">
        <v>136</v>
      </c>
      <c r="M54" s="14">
        <v>120</v>
      </c>
      <c r="N54" s="16">
        <f>yield(+WORKDAY(TODAY(),1,0),G54,E54,M54,100,2,1)</f>
      </c>
    </row>
    <row r="55" spans="1:14">
      <c r="A55" s="5" t="s">
        <v>36</v>
      </c>
      <c r="B55" s="5" t="s">
        <v>37</v>
      </c>
      <c r="C55" s="5" t="s">
        <v>38</v>
      </c>
      <c r="D55" s="7">
        <v>50000.0</v>
      </c>
      <c r="E55" s="9" t="s">
        <v>17</v>
      </c>
      <c r="F55" s="11" t="s">
        <v>39</v>
      </c>
      <c r="G55" s="11" t="s">
        <v>40</v>
      </c>
      <c r="H55" s="7">
        <v>70500.0</v>
      </c>
      <c r="I55" s="13" t="s">
        <v>18</v>
      </c>
      <c r="J55" s="15" t="s">
        <v>18</v>
      </c>
      <c r="K55" s="17" t="s">
        <v>18</v>
      </c>
      <c r="L55" s="13">
        <v>21</v>
      </c>
      <c r="M55" s="15">
        <v>70000</v>
      </c>
      <c r="N55" s="17">
        <f>(D55/H55)</f>
        <v>0.70921985815603</v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70500.0</v>
      </c>
      <c r="I56" s="12" t="s">
        <v>18</v>
      </c>
      <c r="J56" s="14" t="s">
        <v>18</v>
      </c>
      <c r="K56" s="16" t="s">
        <v>18</v>
      </c>
      <c r="L56" s="12">
        <v>5</v>
      </c>
      <c r="M56" s="14">
        <v>78250</v>
      </c>
      <c r="N56" s="16">
        <f>(D56/H56)</f>
        <v>0.70921985815603</v>
      </c>
    </row>
    <row r="57" spans="1:14">
      <c r="A57" s="5" t="s">
        <v>41</v>
      </c>
      <c r="B57" s="5" t="s">
        <v>42</v>
      </c>
      <c r="C57" s="5" t="s">
        <v>43</v>
      </c>
      <c r="D57" s="7">
        <v>1000.0</v>
      </c>
      <c r="E57" s="9">
        <v>0.16</v>
      </c>
      <c r="F57" s="11" t="s">
        <v>44</v>
      </c>
      <c r="G57" s="11" t="s">
        <v>45</v>
      </c>
      <c r="H57" s="7">
        <v>1001.0001</v>
      </c>
      <c r="I57" s="13">
        <v>9753</v>
      </c>
      <c r="J57" s="15">
        <v>1001.0001999999999498</v>
      </c>
      <c r="K57" s="17" t="e">
        <f>L57/100</f>
        <v>#VALUE!</v>
      </c>
      <c r="L57" s="13" t="s">
        <v>18</v>
      </c>
      <c r="M57" s="15" t="s">
        <v>18</v>
      </c>
      <c r="N57" s="17" t="s">
        <v>18</v>
      </c>
    </row>
    <row r="58" spans="1:14">
      <c r="A58" s="4" t="s">
        <v>46</v>
      </c>
      <c r="B58" s="4" t="s">
        <v>47</v>
      </c>
      <c r="C58" s="4" t="s">
        <v>43</v>
      </c>
      <c r="D58" s="6">
        <v>1000.0</v>
      </c>
      <c r="E58" s="8">
        <v>0.16</v>
      </c>
      <c r="F58" s="10" t="s">
        <v>48</v>
      </c>
      <c r="G58" s="10" t="s">
        <v>49</v>
      </c>
      <c r="H58" s="6">
        <v>985.0</v>
      </c>
      <c r="I58" s="12">
        <v>262622</v>
      </c>
      <c r="J58" s="14">
        <v>986.60000000000002</v>
      </c>
      <c r="K58" s="16" t="e">
        <f>L58/100</f>
        <v>#VALUE!</v>
      </c>
      <c r="L58" s="12" t="s">
        <v>18</v>
      </c>
      <c r="M58" s="14" t="s">
        <v>18</v>
      </c>
      <c r="N58" s="16" t="s">
        <v>18</v>
      </c>
    </row>
    <row r="59" spans="1:14">
      <c r="A59" s="5" t="s">
        <v>50</v>
      </c>
      <c r="B59" s="5" t="s">
        <v>51</v>
      </c>
      <c r="C59" s="5" t="s">
        <v>52</v>
      </c>
      <c r="D59" s="7">
        <v>1000.0</v>
      </c>
      <c r="E59" s="9">
        <v>0.07</v>
      </c>
      <c r="F59" s="11" t="s">
        <v>53</v>
      </c>
      <c r="G59" s="11" t="s">
        <v>54</v>
      </c>
      <c r="H59" s="7">
        <v>100.0</v>
      </c>
      <c r="I59" s="13">
        <v>5</v>
      </c>
      <c r="J59" s="15">
        <v>98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55</v>
      </c>
      <c r="B60" s="4" t="s">
        <v>56</v>
      </c>
      <c r="C60" s="4" t="s">
        <v>52</v>
      </c>
      <c r="D60" s="6">
        <v>1000.0</v>
      </c>
      <c r="E60" s="8">
        <v>0.07</v>
      </c>
      <c r="F60" s="10" t="s">
        <v>57</v>
      </c>
      <c r="G60" s="10" t="s">
        <v>58</v>
      </c>
      <c r="H60" s="6">
        <v>99.0</v>
      </c>
      <c r="I60" s="12" t="s">
        <v>18</v>
      </c>
      <c r="J60" s="14" t="s">
        <v>18</v>
      </c>
      <c r="K60" s="16" t="s">
        <v>18</v>
      </c>
      <c r="L60" s="12">
        <v>4</v>
      </c>
      <c r="M60" s="14">
        <v>100.5</v>
      </c>
      <c r="N60" s="16">
        <f>yield(+WORKDAY(TODAY(),1,0),G60,E60,M60,100,2,1)</f>
      </c>
    </row>
    <row r="61" spans="1:14">
      <c r="A61" s="5" t="s">
        <v>59</v>
      </c>
      <c r="B61" s="5" t="s">
        <v>60</v>
      </c>
      <c r="C61" s="5" t="s">
        <v>52</v>
      </c>
      <c r="D61" s="7">
        <v>1000.0</v>
      </c>
      <c r="E61" s="9">
        <v>0.08</v>
      </c>
      <c r="F61" s="11" t="s">
        <v>61</v>
      </c>
      <c r="G61" s="11" t="s">
        <v>62</v>
      </c>
      <c r="H61" s="7">
        <v>101.0</v>
      </c>
      <c r="I61" s="13">
        <v>1</v>
      </c>
      <c r="J61" s="15">
        <v>101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63</v>
      </c>
      <c r="B62" s="4" t="s">
        <v>64</v>
      </c>
      <c r="C62" s="4" t="s">
        <v>52</v>
      </c>
      <c r="D62" s="6">
        <v>1000.0</v>
      </c>
      <c r="E62" s="8">
        <v>0.08</v>
      </c>
      <c r="F62" s="10" t="s">
        <v>65</v>
      </c>
      <c r="G62" s="10" t="s">
        <v>66</v>
      </c>
      <c r="H62" s="6">
        <v>100.0</v>
      </c>
      <c r="I62" s="12">
        <v>11</v>
      </c>
      <c r="J62" s="14">
        <v>101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63</v>
      </c>
      <c r="B63" s="5" t="s">
        <v>64</v>
      </c>
      <c r="C63" s="5" t="s">
        <v>52</v>
      </c>
      <c r="D63" s="7">
        <v>1000.0</v>
      </c>
      <c r="E63" s="9">
        <v>0.08</v>
      </c>
      <c r="F63" s="11" t="s">
        <v>65</v>
      </c>
      <c r="G63" s="11" t="s">
        <v>66</v>
      </c>
      <c r="H63" s="7">
        <v>100.0</v>
      </c>
      <c r="I63" s="13">
        <v>13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67</v>
      </c>
      <c r="B64" s="4" t="s">
        <v>68</v>
      </c>
      <c r="C64" s="4" t="s">
        <v>52</v>
      </c>
      <c r="D64" s="6">
        <v>1000.0</v>
      </c>
      <c r="E64" s="8">
        <v>0.05</v>
      </c>
      <c r="F64" s="10" t="s">
        <v>69</v>
      </c>
      <c r="G64" s="10" t="s">
        <v>70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6</v>
      </c>
      <c r="M64" s="14">
        <v>100</v>
      </c>
      <c r="N64" s="16">
        <f>yield(+WORKDAY(TODAY(),1,0),G64,E64,M64,100,2,1)</f>
      </c>
    </row>
    <row r="65" spans="1:14">
      <c r="A65" s="5" t="s">
        <v>71</v>
      </c>
      <c r="B65" s="5" t="s">
        <v>72</v>
      </c>
      <c r="C65" s="5" t="s">
        <v>52</v>
      </c>
      <c r="D65" s="7">
        <v>1000.0</v>
      </c>
      <c r="E65" s="9">
        <v>0.07</v>
      </c>
      <c r="F65" s="11" t="s">
        <v>73</v>
      </c>
      <c r="G65" s="11" t="s">
        <v>74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</v>
      </c>
      <c r="M65" s="15">
        <v>100</v>
      </c>
      <c r="N65" s="17">
        <f>yield(+WORKDAY(TODAY(),1,0),G65,E65,M65,100,2,1)</f>
      </c>
    </row>
    <row r="66" spans="1:14">
      <c r="A66" s="4" t="s">
        <v>75</v>
      </c>
      <c r="B66" s="4" t="s">
        <v>76</v>
      </c>
      <c r="C66" s="4" t="s">
        <v>52</v>
      </c>
      <c r="D66" s="6">
        <v>1000.0</v>
      </c>
      <c r="E66" s="8">
        <v>0.07</v>
      </c>
      <c r="F66" s="10" t="s">
        <v>77</v>
      </c>
      <c r="G66" s="10" t="s">
        <v>78</v>
      </c>
      <c r="H66" s="6">
        <v>97.8999</v>
      </c>
      <c r="I66" s="12" t="s">
        <v>18</v>
      </c>
      <c r="J66" s="14" t="s">
        <v>18</v>
      </c>
      <c r="K66" s="16" t="s">
        <v>18</v>
      </c>
      <c r="L66" s="12">
        <v>2159</v>
      </c>
      <c r="M66" s="14">
        <v>97.90000000000001</v>
      </c>
      <c r="N66" s="16">
        <f>yield(+WORKDAY(TODAY(),1,0),G66,E66,M66,100,2,1)</f>
      </c>
    </row>
    <row r="67" spans="1:14">
      <c r="A67" s="5" t="s">
        <v>75</v>
      </c>
      <c r="B67" s="5" t="s">
        <v>76</v>
      </c>
      <c r="C67" s="5" t="s">
        <v>52</v>
      </c>
      <c r="D67" s="7">
        <v>1000.0</v>
      </c>
      <c r="E67" s="9">
        <v>0.07</v>
      </c>
      <c r="F67" s="11" t="s">
        <v>77</v>
      </c>
      <c r="G67" s="11" t="s">
        <v>78</v>
      </c>
      <c r="H67" s="7">
        <v>97.8999</v>
      </c>
      <c r="I67" s="13" t="s">
        <v>18</v>
      </c>
      <c r="J67" s="15" t="s">
        <v>18</v>
      </c>
      <c r="K67" s="17" t="s">
        <v>18</v>
      </c>
      <c r="L67" s="13">
        <v>992</v>
      </c>
      <c r="M67" s="15">
        <v>98</v>
      </c>
      <c r="N67" s="17">
        <f>yield(+WORKDAY(TODAY(),1,0),G67,E67,M67,100,2,1)</f>
      </c>
    </row>
    <row r="68" spans="1:14">
      <c r="A68" s="4" t="s">
        <v>75</v>
      </c>
      <c r="B68" s="4" t="s">
        <v>76</v>
      </c>
      <c r="C68" s="4" t="s">
        <v>52</v>
      </c>
      <c r="D68" s="6">
        <v>1000.0</v>
      </c>
      <c r="E68" s="8">
        <v>0.07</v>
      </c>
      <c r="F68" s="10" t="s">
        <v>77</v>
      </c>
      <c r="G68" s="10" t="s">
        <v>78</v>
      </c>
      <c r="H68" s="6">
        <v>97.8999</v>
      </c>
      <c r="I68" s="12" t="s">
        <v>18</v>
      </c>
      <c r="J68" s="14" t="s">
        <v>18</v>
      </c>
      <c r="K68" s="16" t="s">
        <v>18</v>
      </c>
      <c r="L68" s="12">
        <v>40</v>
      </c>
      <c r="M68" s="14">
        <v>100</v>
      </c>
      <c r="N68" s="16">
        <f>yield(+WORKDAY(TODAY(),1,0),G68,E68,M68,100,2,1)</f>
      </c>
    </row>
    <row r="69" spans="1:14">
      <c r="A69" s="5" t="s">
        <v>79</v>
      </c>
      <c r="B69" s="5" t="s">
        <v>80</v>
      </c>
      <c r="C69" s="5" t="s">
        <v>81</v>
      </c>
      <c r="D69" s="7">
        <v>100000.0</v>
      </c>
      <c r="E69" s="9">
        <v>0.1675</v>
      </c>
      <c r="F69" s="11" t="s">
        <v>82</v>
      </c>
      <c r="G69" s="11" t="s">
        <v>83</v>
      </c>
      <c r="H69" s="7">
        <v>98.0</v>
      </c>
      <c r="I69" s="13" t="s">
        <v>18</v>
      </c>
      <c r="J69" s="15" t="s">
        <v>18</v>
      </c>
      <c r="K69" s="17" t="s">
        <v>18</v>
      </c>
      <c r="L69" s="13">
        <v>155</v>
      </c>
      <c r="M69" s="15">
        <v>100.523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81</v>
      </c>
      <c r="D70" s="6">
        <v>100000.0</v>
      </c>
      <c r="E70" s="8">
        <v>0.1675</v>
      </c>
      <c r="F70" s="10" t="s">
        <v>82</v>
      </c>
      <c r="G70" s="10" t="s">
        <v>83</v>
      </c>
      <c r="H70" s="6">
        <v>98.0</v>
      </c>
      <c r="I70" s="12" t="s">
        <v>18</v>
      </c>
      <c r="J70" s="14" t="s">
        <v>18</v>
      </c>
      <c r="K70" s="16" t="s">
        <v>18</v>
      </c>
      <c r="L70" s="12">
        <v>2</v>
      </c>
      <c r="M70" s="14">
        <v>101.59</v>
      </c>
      <c r="N70" s="16">
        <f>yield(+WORKDAY(TODAY(),1,0),G70,E70,M70,100,2,1)</f>
      </c>
    </row>
    <row r="71" spans="1:14">
      <c r="A71" s="5" t="s">
        <v>84</v>
      </c>
      <c r="B71" s="5" t="s">
        <v>85</v>
      </c>
      <c r="C71" s="5" t="s">
        <v>81</v>
      </c>
      <c r="D71" s="7">
        <v>100000.0</v>
      </c>
      <c r="E71" s="9">
        <v>0.1675</v>
      </c>
      <c r="F71" s="11" t="s">
        <v>86</v>
      </c>
      <c r="G71" s="11" t="s">
        <v>87</v>
      </c>
      <c r="H71" s="7">
        <v>98.5</v>
      </c>
      <c r="I71" s="13" t="s">
        <v>18</v>
      </c>
      <c r="J71" s="15" t="s">
        <v>18</v>
      </c>
      <c r="K71" s="17" t="s">
        <v>18</v>
      </c>
      <c r="L71" s="13">
        <v>2080</v>
      </c>
      <c r="M71" s="15">
        <v>100.94</v>
      </c>
      <c r="N71" s="17">
        <f>yield(+WORKDAY(TODAY(),1,0),G71,E71,M71,100,2,1)</f>
      </c>
    </row>
    <row r="72" spans="1:14">
      <c r="A72" s="4" t="s">
        <v>88</v>
      </c>
      <c r="B72" s="4" t="s">
        <v>89</v>
      </c>
      <c r="C72" s="4" t="s">
        <v>81</v>
      </c>
      <c r="D72" s="6">
        <v>100000.0</v>
      </c>
      <c r="E72" s="8">
        <v>0.1675</v>
      </c>
      <c r="F72" s="10" t="s">
        <v>90</v>
      </c>
      <c r="G72" s="10" t="s">
        <v>91</v>
      </c>
      <c r="H72" s="6">
        <v>99.0</v>
      </c>
      <c r="I72" s="12">
        <v>1</v>
      </c>
      <c r="J72" s="14">
        <v>99</v>
      </c>
      <c r="K72" s="16">
        <f>yield(+WORKDAY(TODAY(),1,0),G72,E72,J72,100,2,1)</f>
      </c>
      <c r="L72" s="12">
        <v>2</v>
      </c>
      <c r="M72" s="14">
        <v>102.149</v>
      </c>
      <c r="N72" s="16">
        <f>yield(+WORKDAY(TODAY(),1,0),G72,E72,M72,100,2,1)</f>
      </c>
    </row>
    <row r="73" spans="1:14">
      <c r="A73" s="5" t="s">
        <v>92</v>
      </c>
      <c r="B73" s="5" t="s">
        <v>93</v>
      </c>
      <c r="C73" s="5" t="s">
        <v>81</v>
      </c>
      <c r="D73" s="7">
        <v>100000.0</v>
      </c>
      <c r="E73" s="9">
        <v>0.1675</v>
      </c>
      <c r="F73" s="11" t="s">
        <v>94</v>
      </c>
      <c r="G73" s="11" t="s">
        <v>95</v>
      </c>
      <c r="H73" s="7">
        <v>99.0</v>
      </c>
      <c r="I73" s="13" t="s">
        <v>18</v>
      </c>
      <c r="J73" s="15" t="s">
        <v>18</v>
      </c>
      <c r="K73" s="17" t="s">
        <v>18</v>
      </c>
      <c r="L73" s="13">
        <v>2</v>
      </c>
      <c r="M73" s="15">
        <v>101.59</v>
      </c>
      <c r="N73" s="17">
        <f>yield(+WORKDAY(TODAY(),1,0),G73,E73,M73,100,2,1)</f>
      </c>
    </row>
    <row r="74" spans="1:14">
      <c r="A74" s="4" t="s">
        <v>96</v>
      </c>
      <c r="B74" s="4" t="s">
        <v>97</v>
      </c>
      <c r="C74" s="4" t="s">
        <v>81</v>
      </c>
      <c r="D74" s="6">
        <v>100000.0</v>
      </c>
      <c r="E74" s="8">
        <v>0.195</v>
      </c>
      <c r="F74" s="10" t="s">
        <v>98</v>
      </c>
      <c r="G74" s="10" t="s">
        <v>99</v>
      </c>
      <c r="H74" s="6">
        <v>105.39700000000001</v>
      </c>
      <c r="I74" s="12">
        <v>3</v>
      </c>
      <c r="J74" s="14">
        <v>101</v>
      </c>
      <c r="K74" s="16">
        <f>yield(+WORKDAY(TODAY(),1,0),G74,E74,J74,100,2,1)</f>
      </c>
      <c r="L74" s="12">
        <v>7328</v>
      </c>
      <c r="M74" s="14">
        <v>105.39700000000001</v>
      </c>
      <c r="N74" s="16">
        <f>yield(+WORKDAY(TODAY(),1,0),G74,E74,M74,100,2,1)</f>
      </c>
    </row>
    <row r="75" spans="1:14">
      <c r="A75" s="5" t="s">
        <v>96</v>
      </c>
      <c r="B75" s="5" t="s">
        <v>97</v>
      </c>
      <c r="C75" s="5" t="s">
        <v>81</v>
      </c>
      <c r="D75" s="7">
        <v>100000.0</v>
      </c>
      <c r="E75" s="9">
        <v>0.195</v>
      </c>
      <c r="F75" s="11" t="s">
        <v>98</v>
      </c>
      <c r="G75" s="11" t="s">
        <v>99</v>
      </c>
      <c r="H75" s="7">
        <v>105.39700000000001</v>
      </c>
      <c r="I75" s="13">
        <v>15</v>
      </c>
      <c r="J75" s="15">
        <v>100.099999999999994</v>
      </c>
      <c r="K75" s="17">
        <f>yield(+WORKDAY(TODAY(),1,0),G75,E75,J75,100,2,1)</f>
      </c>
      <c r="L75" s="13">
        <v>1</v>
      </c>
      <c r="M75" s="15">
        <v>105.40000000000001</v>
      </c>
      <c r="N75" s="17">
        <f>yield(+WORKDAY(TODAY(),1,0),G75,E75,M75,100,2,1)</f>
      </c>
    </row>
    <row r="76" spans="1:14">
      <c r="A76" s="4" t="s">
        <v>96</v>
      </c>
      <c r="B76" s="4" t="s">
        <v>97</v>
      </c>
      <c r="C76" s="4" t="s">
        <v>81</v>
      </c>
      <c r="D76" s="6">
        <v>100000.0</v>
      </c>
      <c r="E76" s="8">
        <v>0.195</v>
      </c>
      <c r="F76" s="10" t="s">
        <v>98</v>
      </c>
      <c r="G76" s="10" t="s">
        <v>99</v>
      </c>
      <c r="H76" s="6">
        <v>105.39700000000001</v>
      </c>
      <c r="I76" s="12">
        <v>32</v>
      </c>
      <c r="J76" s="14">
        <v>100</v>
      </c>
      <c r="K76" s="16">
        <f>yield(+WORKDAY(TODAY(),1,0),G76,E76,J76,100,2,1)</f>
      </c>
      <c r="L76" s="12">
        <v>188</v>
      </c>
      <c r="M76" s="14">
        <v>107.5</v>
      </c>
      <c r="N76" s="16">
        <f>yield(+WORKDAY(TODAY(),1,0),G76,E76,M76,100,2,1)</f>
      </c>
    </row>
    <row r="77" spans="1:14">
      <c r="A77" s="5" t="s">
        <v>96</v>
      </c>
      <c r="B77" s="5" t="s">
        <v>97</v>
      </c>
      <c r="C77" s="5" t="s">
        <v>81</v>
      </c>
      <c r="D77" s="7">
        <v>100000.0</v>
      </c>
      <c r="E77" s="9">
        <v>0.195</v>
      </c>
      <c r="F77" s="11" t="s">
        <v>98</v>
      </c>
      <c r="G77" s="11" t="s">
        <v>99</v>
      </c>
      <c r="H77" s="7">
        <v>105.39700000000001</v>
      </c>
      <c r="I77" s="13" t="s">
        <v>18</v>
      </c>
      <c r="J77" s="15" t="s">
        <v>18</v>
      </c>
      <c r="K77" s="17" t="s">
        <v>18</v>
      </c>
      <c r="L77" s="13">
        <v>1</v>
      </c>
      <c r="M77" s="15">
        <v>110</v>
      </c>
      <c r="N77" s="17">
        <f>yield(+WORKDAY(TODAY(),1,0),G77,E77,M77,100,2,1)</f>
      </c>
    </row>
    <row r="78" spans="1:14">
      <c r="A78" s="4" t="s">
        <v>100</v>
      </c>
      <c r="B78" s="4" t="s">
        <v>101</v>
      </c>
      <c r="C78" s="4" t="s">
        <v>81</v>
      </c>
      <c r="D78" s="6">
        <v>100000.0</v>
      </c>
      <c r="E78" s="8">
        <v>0.21</v>
      </c>
      <c r="F78" s="10" t="s">
        <v>102</v>
      </c>
      <c r="G78" s="10" t="s">
        <v>103</v>
      </c>
      <c r="H78" s="6">
        <v>101.5</v>
      </c>
      <c r="I78" s="12">
        <v>57</v>
      </c>
      <c r="J78" s="14">
        <v>102.2</v>
      </c>
      <c r="K78" s="16">
        <f>yield(+WORKDAY(TODAY(),1,0),G78,E78,J78,100,2,1)</f>
      </c>
      <c r="L78" s="12">
        <v>508</v>
      </c>
      <c r="M78" s="14">
        <v>112</v>
      </c>
      <c r="N78" s="16">
        <f>yield(+WORKDAY(TODAY(),1,0),G78,E78,M78,100,2,1)</f>
      </c>
    </row>
    <row r="79" spans="1:14">
      <c r="A79" s="5" t="s">
        <v>100</v>
      </c>
      <c r="B79" s="5" t="s">
        <v>101</v>
      </c>
      <c r="C79" s="5" t="s">
        <v>81</v>
      </c>
      <c r="D79" s="7">
        <v>100000.0</v>
      </c>
      <c r="E79" s="9">
        <v>0.21</v>
      </c>
      <c r="F79" s="11" t="s">
        <v>102</v>
      </c>
      <c r="G79" s="11" t="s">
        <v>103</v>
      </c>
      <c r="H79" s="7">
        <v>101.5</v>
      </c>
      <c r="I79" s="13">
        <v>122</v>
      </c>
      <c r="J79" s="15">
        <v>102.099999999999994</v>
      </c>
      <c r="K79" s="17">
        <f>yield(+WORKDAY(TODAY(),1,0),G79,E79,J79,100,2,1)</f>
      </c>
      <c r="L79" s="13">
        <v>827</v>
      </c>
      <c r="M79" s="15">
        <v>117</v>
      </c>
      <c r="N79" s="17">
        <f>yield(+WORKDAY(TODAY(),1,0),G79,E79,M79,100,2,1)</f>
      </c>
    </row>
    <row r="80" spans="1:14">
      <c r="A80" s="4" t="s">
        <v>100</v>
      </c>
      <c r="B80" s="4" t="s">
        <v>101</v>
      </c>
      <c r="C80" s="4" t="s">
        <v>81</v>
      </c>
      <c r="D80" s="6">
        <v>100000.0</v>
      </c>
      <c r="E80" s="8">
        <v>0.21</v>
      </c>
      <c r="F80" s="10" t="s">
        <v>102</v>
      </c>
      <c r="G80" s="10" t="s">
        <v>103</v>
      </c>
      <c r="H80" s="6">
        <v>101.5</v>
      </c>
      <c r="I80" s="12">
        <v>2</v>
      </c>
      <c r="J80" s="14">
        <v>102</v>
      </c>
      <c r="K80" s="16">
        <f>yield(+WORKDAY(TODAY(),1,0),G80,E80,J80,100,2,1)</f>
      </c>
      <c r="L80" s="12">
        <v>109</v>
      </c>
      <c r="M80" s="14">
        <v>117.73999999999999</v>
      </c>
      <c r="N80" s="16">
        <f>yield(+WORKDAY(TODAY(),1,0),G80,E80,M80,100,2,1)</f>
      </c>
    </row>
    <row r="81" spans="1:14">
      <c r="A81" s="5" t="s">
        <v>100</v>
      </c>
      <c r="B81" s="5" t="s">
        <v>101</v>
      </c>
      <c r="C81" s="5" t="s">
        <v>81</v>
      </c>
      <c r="D81" s="7">
        <v>100000.0</v>
      </c>
      <c r="E81" s="9">
        <v>0.21</v>
      </c>
      <c r="F81" s="11" t="s">
        <v>102</v>
      </c>
      <c r="G81" s="11" t="s">
        <v>103</v>
      </c>
      <c r="H81" s="7">
        <v>101.5</v>
      </c>
      <c r="I81" s="13">
        <v>20</v>
      </c>
      <c r="J81" s="15">
        <v>101.8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100</v>
      </c>
      <c r="B82" s="4" t="s">
        <v>101</v>
      </c>
      <c r="C82" s="4" t="s">
        <v>81</v>
      </c>
      <c r="D82" s="6">
        <v>100000.0</v>
      </c>
      <c r="E82" s="8">
        <v>0.21</v>
      </c>
      <c r="F82" s="10" t="s">
        <v>102</v>
      </c>
      <c r="G82" s="10" t="s">
        <v>103</v>
      </c>
      <c r="H82" s="6">
        <v>101.5</v>
      </c>
      <c r="I82" s="12">
        <v>140</v>
      </c>
      <c r="J82" s="14">
        <v>101.5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100</v>
      </c>
      <c r="B83" s="5" t="s">
        <v>101</v>
      </c>
      <c r="C83" s="5" t="s">
        <v>81</v>
      </c>
      <c r="D83" s="7">
        <v>100000.0</v>
      </c>
      <c r="E83" s="9">
        <v>0.21</v>
      </c>
      <c r="F83" s="11" t="s">
        <v>102</v>
      </c>
      <c r="G83" s="11" t="s">
        <v>103</v>
      </c>
      <c r="H83" s="7">
        <v>101.5</v>
      </c>
      <c r="I83" s="13">
        <v>3</v>
      </c>
      <c r="J83" s="15">
        <v>101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100</v>
      </c>
      <c r="B84" s="4" t="s">
        <v>101</v>
      </c>
      <c r="C84" s="4" t="s">
        <v>81</v>
      </c>
      <c r="D84" s="6">
        <v>100000.0</v>
      </c>
      <c r="E84" s="8">
        <v>0.21</v>
      </c>
      <c r="F84" s="10" t="s">
        <v>102</v>
      </c>
      <c r="G84" s="10" t="s">
        <v>103</v>
      </c>
      <c r="H84" s="6">
        <v>101.5</v>
      </c>
      <c r="I84" s="12">
        <v>7</v>
      </c>
      <c r="J84" s="14">
        <v>100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100</v>
      </c>
      <c r="B85" s="5" t="s">
        <v>101</v>
      </c>
      <c r="C85" s="5" t="s">
        <v>81</v>
      </c>
      <c r="D85" s="7">
        <v>100000.0</v>
      </c>
      <c r="E85" s="9">
        <v>0.21</v>
      </c>
      <c r="F85" s="11" t="s">
        <v>102</v>
      </c>
      <c r="G85" s="11" t="s">
        <v>103</v>
      </c>
      <c r="H85" s="7">
        <v>101.5</v>
      </c>
      <c r="I85" s="13">
        <v>4</v>
      </c>
      <c r="J85" s="15">
        <v>99.5</v>
      </c>
      <c r="K85" s="17">
        <f>yield(+WORKDAY(TODAY(),1,0),G85,E85,J85,100,2,1)</f>
      </c>
      <c r="L85" s="13" t="s">
        <v>18</v>
      </c>
      <c r="M85" s="15" t="s">
        <v>18</v>
      </c>
      <c r="N85" s="17" t="s">
        <v>18</v>
      </c>
    </row>
    <row r="86" spans="1:14">
      <c r="A86" s="4" t="s">
        <v>100</v>
      </c>
      <c r="B86" s="4" t="s">
        <v>101</v>
      </c>
      <c r="C86" s="4" t="s">
        <v>81</v>
      </c>
      <c r="D86" s="6">
        <v>100000.0</v>
      </c>
      <c r="E86" s="8">
        <v>0.21</v>
      </c>
      <c r="F86" s="10" t="s">
        <v>102</v>
      </c>
      <c r="G86" s="10" t="s">
        <v>103</v>
      </c>
      <c r="H86" s="6">
        <v>101.5</v>
      </c>
      <c r="I86" s="12">
        <v>20</v>
      </c>
      <c r="J86" s="14">
        <v>99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100</v>
      </c>
      <c r="B87" s="5" t="s">
        <v>101</v>
      </c>
      <c r="C87" s="5" t="s">
        <v>81</v>
      </c>
      <c r="D87" s="7">
        <v>100000.0</v>
      </c>
      <c r="E87" s="9">
        <v>0.21</v>
      </c>
      <c r="F87" s="11" t="s">
        <v>102</v>
      </c>
      <c r="G87" s="11" t="s">
        <v>103</v>
      </c>
      <c r="H87" s="7">
        <v>101.5</v>
      </c>
      <c r="I87" s="13">
        <v>5</v>
      </c>
      <c r="J87" s="15">
        <v>98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100</v>
      </c>
      <c r="B88" s="4" t="s">
        <v>101</v>
      </c>
      <c r="C88" s="4" t="s">
        <v>81</v>
      </c>
      <c r="D88" s="6">
        <v>100000.0</v>
      </c>
      <c r="E88" s="8">
        <v>0.21</v>
      </c>
      <c r="F88" s="10" t="s">
        <v>102</v>
      </c>
      <c r="G88" s="10" t="s">
        <v>103</v>
      </c>
      <c r="H88" s="6">
        <v>101.5</v>
      </c>
      <c r="I88" s="12">
        <v>11</v>
      </c>
      <c r="J88" s="14">
        <v>96.18000000000001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104</v>
      </c>
      <c r="B89" s="5" t="s">
        <v>105</v>
      </c>
      <c r="C89" s="5" t="s">
        <v>81</v>
      </c>
      <c r="D89" s="7">
        <v>100000.0</v>
      </c>
      <c r="E89" s="9">
        <v>0.2</v>
      </c>
      <c r="F89" s="11" t="s">
        <v>102</v>
      </c>
      <c r="G89" s="11" t="s">
        <v>106</v>
      </c>
      <c r="H89" s="7">
        <v>112.0</v>
      </c>
      <c r="I89" s="13">
        <v>3</v>
      </c>
      <c r="J89" s="15">
        <v>104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104</v>
      </c>
      <c r="B90" s="4" t="s">
        <v>105</v>
      </c>
      <c r="C90" s="4" t="s">
        <v>81</v>
      </c>
      <c r="D90" s="6">
        <v>100000.0</v>
      </c>
      <c r="E90" s="8">
        <v>0.2</v>
      </c>
      <c r="F90" s="10" t="s">
        <v>102</v>
      </c>
      <c r="G90" s="10" t="s">
        <v>106</v>
      </c>
      <c r="H90" s="6">
        <v>112.0</v>
      </c>
      <c r="I90" s="12">
        <v>1</v>
      </c>
      <c r="J90" s="14">
        <v>100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107</v>
      </c>
      <c r="B91" s="5" t="s">
        <v>108</v>
      </c>
      <c r="C91" s="5" t="s">
        <v>81</v>
      </c>
      <c r="D91" s="7">
        <v>100000.0</v>
      </c>
      <c r="E91" s="9">
        <v>0.15</v>
      </c>
      <c r="F91" s="11" t="s">
        <v>109</v>
      </c>
      <c r="G91" s="11" t="s">
        <v>110</v>
      </c>
      <c r="H91" s="7">
        <v>99.986</v>
      </c>
      <c r="I91" s="13">
        <v>8037</v>
      </c>
      <c r="J91" s="15">
        <v>97.015000000000001</v>
      </c>
      <c r="K91" s="17">
        <f>yield(+WORKDAY(TODAY(),1,0),G91,E91,J91,100,2,1)</f>
      </c>
      <c r="L91" s="13">
        <v>8037</v>
      </c>
      <c r="M91" s="15">
        <v>99.986</v>
      </c>
      <c r="N91" s="17">
        <f>yield(+WORKDAY(TODAY(),1,0),G91,E91,M91,100,2,1)</f>
      </c>
    </row>
    <row r="92" spans="1:14">
      <c r="A92" s="4" t="s">
        <v>107</v>
      </c>
      <c r="B92" s="4" t="s">
        <v>108</v>
      </c>
      <c r="C92" s="4" t="s">
        <v>81</v>
      </c>
      <c r="D92" s="6">
        <v>100000.0</v>
      </c>
      <c r="E92" s="8">
        <v>0.15</v>
      </c>
      <c r="F92" s="10" t="s">
        <v>109</v>
      </c>
      <c r="G92" s="10" t="s">
        <v>110</v>
      </c>
      <c r="H92" s="6">
        <v>99.986</v>
      </c>
      <c r="I92" s="12" t="s">
        <v>18</v>
      </c>
      <c r="J92" s="14" t="s">
        <v>18</v>
      </c>
      <c r="K92" s="16" t="s">
        <v>18</v>
      </c>
      <c r="L92" s="12">
        <v>21</v>
      </c>
      <c r="M92" s="14">
        <v>100</v>
      </c>
      <c r="N92" s="16">
        <f>yield(+WORKDAY(TODAY(),1,0),G92,E92,M92,100,2,1)</f>
      </c>
    </row>
    <row r="93" spans="1:14">
      <c r="A93" s="5" t="s">
        <v>107</v>
      </c>
      <c r="B93" s="5" t="s">
        <v>108</v>
      </c>
      <c r="C93" s="5" t="s">
        <v>81</v>
      </c>
      <c r="D93" s="7">
        <v>100000.0</v>
      </c>
      <c r="E93" s="9">
        <v>0.15</v>
      </c>
      <c r="F93" s="11" t="s">
        <v>109</v>
      </c>
      <c r="G93" s="11" t="s">
        <v>110</v>
      </c>
      <c r="H93" s="7">
        <v>99.986</v>
      </c>
      <c r="I93" s="13" t="s">
        <v>18</v>
      </c>
      <c r="J93" s="15" t="s">
        <v>18</v>
      </c>
      <c r="K93" s="17" t="s">
        <v>18</v>
      </c>
      <c r="L93" s="13">
        <v>92407</v>
      </c>
      <c r="M93" s="15">
        <v>100.108</v>
      </c>
      <c r="N93" s="17">
        <f>yield(+WORKDAY(TODAY(),1,0),G93,E93,M93,100,2,1)</f>
      </c>
    </row>
    <row r="94" spans="1:14">
      <c r="A94" s="4" t="s">
        <v>107</v>
      </c>
      <c r="B94" s="4" t="s">
        <v>108</v>
      </c>
      <c r="C94" s="4" t="s">
        <v>81</v>
      </c>
      <c r="D94" s="6">
        <v>100000.0</v>
      </c>
      <c r="E94" s="8">
        <v>0.15</v>
      </c>
      <c r="F94" s="10" t="s">
        <v>109</v>
      </c>
      <c r="G94" s="10" t="s">
        <v>110</v>
      </c>
      <c r="H94" s="6">
        <v>99.986</v>
      </c>
      <c r="I94" s="12" t="s">
        <v>18</v>
      </c>
      <c r="J94" s="14" t="s">
        <v>18</v>
      </c>
      <c r="K94" s="16" t="s">
        <v>18</v>
      </c>
      <c r="L94" s="12">
        <v>23</v>
      </c>
      <c r="M94" s="14">
        <v>105</v>
      </c>
      <c r="N94" s="16">
        <f>yield(+WORKDAY(TODAY(),1,0),G94,E94,M94,100,2,1)</f>
      </c>
    </row>
    <row r="95" spans="1:14">
      <c r="A95" s="5" t="s">
        <v>111</v>
      </c>
      <c r="B95" s="5" t="s">
        <v>112</v>
      </c>
      <c r="C95" s="5" t="s">
        <v>81</v>
      </c>
      <c r="D95" s="7">
        <v>100000.0</v>
      </c>
      <c r="E95" s="9">
        <v>0.16</v>
      </c>
      <c r="F95" s="11" t="s">
        <v>113</v>
      </c>
      <c r="G95" s="11" t="s">
        <v>114</v>
      </c>
      <c r="H95" s="7">
        <v>101.72199999999999</v>
      </c>
      <c r="I95" s="13">
        <v>558</v>
      </c>
      <c r="J95" s="15">
        <v>101.72199999999999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111</v>
      </c>
      <c r="B96" s="4" t="s">
        <v>112</v>
      </c>
      <c r="C96" s="4" t="s">
        <v>81</v>
      </c>
      <c r="D96" s="6">
        <v>100000.0</v>
      </c>
      <c r="E96" s="8">
        <v>0.16</v>
      </c>
      <c r="F96" s="10" t="s">
        <v>113</v>
      </c>
      <c r="G96" s="10" t="s">
        <v>114</v>
      </c>
      <c r="H96" s="6">
        <v>101.72199999999999</v>
      </c>
      <c r="I96" s="12">
        <v>148408</v>
      </c>
      <c r="J96" s="14">
        <v>93.995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115</v>
      </c>
      <c r="B97" s="5" t="s">
        <v>116</v>
      </c>
      <c r="C97" s="5" t="s">
        <v>81</v>
      </c>
      <c r="D97" s="7">
        <v>100000.0</v>
      </c>
      <c r="E97" s="9">
        <v>0.1625</v>
      </c>
      <c r="F97" s="11" t="s">
        <v>117</v>
      </c>
      <c r="G97" s="11" t="s">
        <v>118</v>
      </c>
      <c r="H97" s="7">
        <v>96.45</v>
      </c>
      <c r="I97" s="13" t="s">
        <v>18</v>
      </c>
      <c r="J97" s="15" t="s">
        <v>18</v>
      </c>
      <c r="K97" s="17" t="s">
        <v>18</v>
      </c>
      <c r="L97" s="13">
        <v>87</v>
      </c>
      <c r="M97" s="15">
        <v>96.45</v>
      </c>
      <c r="N97" s="17">
        <f>yield(+WORKDAY(TODAY(),1,0),G97,E97,M97,100,2,1)</f>
      </c>
    </row>
    <row r="98" spans="1:14">
      <c r="A98" s="4" t="s">
        <v>115</v>
      </c>
      <c r="B98" s="4" t="s">
        <v>116</v>
      </c>
      <c r="C98" s="4" t="s">
        <v>81</v>
      </c>
      <c r="D98" s="6">
        <v>100000.0</v>
      </c>
      <c r="E98" s="8">
        <v>0.1625</v>
      </c>
      <c r="F98" s="10" t="s">
        <v>117</v>
      </c>
      <c r="G98" s="10" t="s">
        <v>118</v>
      </c>
      <c r="H98" s="6">
        <v>96.45</v>
      </c>
      <c r="I98" s="12" t="s">
        <v>18</v>
      </c>
      <c r="J98" s="14" t="s">
        <v>18</v>
      </c>
      <c r="K98" s="16" t="s">
        <v>18</v>
      </c>
      <c r="L98" s="12">
        <v>273</v>
      </c>
      <c r="M98" s="14">
        <v>96.5</v>
      </c>
      <c r="N98" s="16">
        <f>yield(+WORKDAY(TODAY(),1,0),G98,E98,M98,100,2,1)</f>
      </c>
    </row>
    <row r="99" spans="1:14">
      <c r="A99" s="5" t="s">
        <v>115</v>
      </c>
      <c r="B99" s="5" t="s">
        <v>116</v>
      </c>
      <c r="C99" s="5" t="s">
        <v>81</v>
      </c>
      <c r="D99" s="7">
        <v>100000.0</v>
      </c>
      <c r="E99" s="9">
        <v>0.1625</v>
      </c>
      <c r="F99" s="11" t="s">
        <v>117</v>
      </c>
      <c r="G99" s="11" t="s">
        <v>118</v>
      </c>
      <c r="H99" s="7">
        <v>96.45</v>
      </c>
      <c r="I99" s="13" t="s">
        <v>18</v>
      </c>
      <c r="J99" s="15" t="s">
        <v>18</v>
      </c>
      <c r="K99" s="17" t="s">
        <v>18</v>
      </c>
      <c r="L99" s="13">
        <v>178</v>
      </c>
      <c r="M99" s="15">
        <v>97.5</v>
      </c>
      <c r="N99" s="17">
        <f>yield(+WORKDAY(TODAY(),1,0),G99,E99,M99,100,2,1)</f>
      </c>
    </row>
    <row r="100" spans="1:14">
      <c r="A100" s="4" t="s">
        <v>115</v>
      </c>
      <c r="B100" s="4" t="s">
        <v>116</v>
      </c>
      <c r="C100" s="4" t="s">
        <v>81</v>
      </c>
      <c r="D100" s="6">
        <v>100000.0</v>
      </c>
      <c r="E100" s="8">
        <v>0.1625</v>
      </c>
      <c r="F100" s="10" t="s">
        <v>117</v>
      </c>
      <c r="G100" s="10" t="s">
        <v>118</v>
      </c>
      <c r="H100" s="6">
        <v>96.45</v>
      </c>
      <c r="I100" s="12" t="s">
        <v>18</v>
      </c>
      <c r="J100" s="14" t="s">
        <v>18</v>
      </c>
      <c r="K100" s="16" t="s">
        <v>18</v>
      </c>
      <c r="L100" s="12">
        <v>3</v>
      </c>
      <c r="M100" s="14">
        <v>98.5</v>
      </c>
      <c r="N100" s="16">
        <f>yield(+WORKDAY(TODAY(),1,0),G100,E100,M100,100,2,1)</f>
      </c>
    </row>
    <row r="101" spans="1:14">
      <c r="A101" s="5" t="s">
        <v>115</v>
      </c>
      <c r="B101" s="5" t="s">
        <v>116</v>
      </c>
      <c r="C101" s="5" t="s">
        <v>81</v>
      </c>
      <c r="D101" s="7">
        <v>100000.0</v>
      </c>
      <c r="E101" s="9">
        <v>0.1625</v>
      </c>
      <c r="F101" s="11" t="s">
        <v>117</v>
      </c>
      <c r="G101" s="11" t="s">
        <v>118</v>
      </c>
      <c r="H101" s="7">
        <v>96.45</v>
      </c>
      <c r="I101" s="13" t="s">
        <v>18</v>
      </c>
      <c r="J101" s="15" t="s">
        <v>18</v>
      </c>
      <c r="K101" s="17" t="s">
        <v>18</v>
      </c>
      <c r="L101" s="13">
        <v>10</v>
      </c>
      <c r="M101" s="15">
        <v>100</v>
      </c>
      <c r="N101" s="17">
        <f>yield(+WORKDAY(TODAY(),1,0),G101,E101,M101,100,2,1)</f>
      </c>
    </row>
    <row r="102" spans="1:14">
      <c r="A102" s="4" t="s">
        <v>119</v>
      </c>
      <c r="B102" s="4" t="s">
        <v>120</v>
      </c>
      <c r="C102" s="4" t="s">
        <v>81</v>
      </c>
      <c r="D102" s="6">
        <v>100000.0</v>
      </c>
      <c r="E102" s="8">
        <v>0.165</v>
      </c>
      <c r="F102" s="10" t="s">
        <v>121</v>
      </c>
      <c r="G102" s="10" t="s">
        <v>122</v>
      </c>
      <c r="H102" s="6">
        <v>97.79000000000001</v>
      </c>
      <c r="I102" s="12">
        <v>26</v>
      </c>
      <c r="J102" s="14">
        <v>95</v>
      </c>
      <c r="K102" s="16">
        <f>yield(+WORKDAY(TODAY(),1,0),G102,E102,J102,100,2,1)</f>
      </c>
      <c r="L102" s="12">
        <v>13</v>
      </c>
      <c r="M102" s="14">
        <v>97.79000000000001</v>
      </c>
      <c r="N102" s="16">
        <f>yield(+WORKDAY(TODAY(),1,0),G102,E102,M102,100,2,1)</f>
      </c>
    </row>
    <row r="103" spans="1:14">
      <c r="A103" s="5" t="s">
        <v>119</v>
      </c>
      <c r="B103" s="5" t="s">
        <v>120</v>
      </c>
      <c r="C103" s="5" t="s">
        <v>81</v>
      </c>
      <c r="D103" s="7">
        <v>100000.0</v>
      </c>
      <c r="E103" s="9">
        <v>0.165</v>
      </c>
      <c r="F103" s="11" t="s">
        <v>121</v>
      </c>
      <c r="G103" s="11" t="s">
        <v>122</v>
      </c>
      <c r="H103" s="7">
        <v>97.79000000000001</v>
      </c>
      <c r="I103" s="13" t="s">
        <v>18</v>
      </c>
      <c r="J103" s="15" t="s">
        <v>18</v>
      </c>
      <c r="K103" s="17" t="s">
        <v>18</v>
      </c>
      <c r="L103" s="13">
        <v>695</v>
      </c>
      <c r="M103" s="15">
        <v>97.8</v>
      </c>
      <c r="N103" s="17">
        <f>yield(+WORKDAY(TODAY(),1,0),G103,E103,M103,100,2,1)</f>
      </c>
    </row>
    <row r="104" spans="1:14">
      <c r="A104" s="4" t="s">
        <v>119</v>
      </c>
      <c r="B104" s="4" t="s">
        <v>120</v>
      </c>
      <c r="C104" s="4" t="s">
        <v>81</v>
      </c>
      <c r="D104" s="6">
        <v>100000.0</v>
      </c>
      <c r="E104" s="8">
        <v>0.165</v>
      </c>
      <c r="F104" s="10" t="s">
        <v>121</v>
      </c>
      <c r="G104" s="10" t="s">
        <v>122</v>
      </c>
      <c r="H104" s="6">
        <v>97.79000000000001</v>
      </c>
      <c r="I104" s="12" t="s">
        <v>18</v>
      </c>
      <c r="J104" s="14" t="s">
        <v>18</v>
      </c>
      <c r="K104" s="16" t="s">
        <v>18</v>
      </c>
      <c r="L104" s="12">
        <v>202</v>
      </c>
      <c r="M104" s="14">
        <v>97.90000000000001</v>
      </c>
      <c r="N104" s="16">
        <f>yield(+WORKDAY(TODAY(),1,0),G104,E104,M104,100,2,1)</f>
      </c>
    </row>
    <row r="105" spans="1:14">
      <c r="A105" s="5" t="s">
        <v>123</v>
      </c>
      <c r="B105" s="5" t="s">
        <v>124</v>
      </c>
      <c r="C105" s="5" t="s">
        <v>81</v>
      </c>
      <c r="D105" s="7">
        <v>100000.0</v>
      </c>
      <c r="E105" s="9">
        <v>0.17</v>
      </c>
      <c r="F105" s="11" t="s">
        <v>125</v>
      </c>
      <c r="G105" s="11" t="s">
        <v>126</v>
      </c>
      <c r="H105" s="7">
        <v>98.0</v>
      </c>
      <c r="I105" s="13">
        <v>31</v>
      </c>
      <c r="J105" s="15">
        <v>93</v>
      </c>
      <c r="K105" s="17">
        <f>yield(+WORKDAY(TODAY(),1,0),G105,E105,J105,100,2,1)</f>
      </c>
      <c r="L105" s="13">
        <v>160</v>
      </c>
      <c r="M105" s="15">
        <v>98</v>
      </c>
      <c r="N105" s="17">
        <f>yield(+WORKDAY(TODAY(),1,0),G105,E105,M105,100,2,1)</f>
      </c>
    </row>
    <row r="106" spans="1:14">
      <c r="A106" s="4" t="s">
        <v>123</v>
      </c>
      <c r="B106" s="4" t="s">
        <v>124</v>
      </c>
      <c r="C106" s="4" t="s">
        <v>81</v>
      </c>
      <c r="D106" s="6">
        <v>100000.0</v>
      </c>
      <c r="E106" s="8">
        <v>0.17</v>
      </c>
      <c r="F106" s="10" t="s">
        <v>125</v>
      </c>
      <c r="G106" s="10" t="s">
        <v>126</v>
      </c>
      <c r="H106" s="6">
        <v>98.0</v>
      </c>
      <c r="I106" s="12" t="s">
        <v>18</v>
      </c>
      <c r="J106" s="14" t="s">
        <v>18</v>
      </c>
      <c r="K106" s="16" t="s">
        <v>18</v>
      </c>
      <c r="L106" s="12">
        <v>178</v>
      </c>
      <c r="M106" s="14">
        <v>99</v>
      </c>
      <c r="N106" s="16">
        <f>yield(+WORKDAY(TODAY(),1,0),G106,E106,M106,100,2,1)</f>
      </c>
    </row>
    <row r="107" spans="1:14">
      <c r="A107" s="5" t="s">
        <v>123</v>
      </c>
      <c r="B107" s="5" t="s">
        <v>124</v>
      </c>
      <c r="C107" s="5" t="s">
        <v>81</v>
      </c>
      <c r="D107" s="7">
        <v>100000.0</v>
      </c>
      <c r="E107" s="9">
        <v>0.17</v>
      </c>
      <c r="F107" s="11" t="s">
        <v>125</v>
      </c>
      <c r="G107" s="11" t="s">
        <v>126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6361</v>
      </c>
      <c r="M107" s="15">
        <v>100</v>
      </c>
      <c r="N107" s="17">
        <f>yield(+WORKDAY(TODAY(),1,0),G107,E107,M107,100,2,1)</f>
      </c>
    </row>
    <row r="108" spans="1:14">
      <c r="A108" s="4" t="s">
        <v>123</v>
      </c>
      <c r="B108" s="4" t="s">
        <v>124</v>
      </c>
      <c r="C108" s="4" t="s">
        <v>81</v>
      </c>
      <c r="D108" s="6">
        <v>100000.0</v>
      </c>
      <c r="E108" s="8">
        <v>0.17</v>
      </c>
      <c r="F108" s="10" t="s">
        <v>125</v>
      </c>
      <c r="G108" s="10" t="s">
        <v>126</v>
      </c>
      <c r="H108" s="6">
        <v>98.0</v>
      </c>
      <c r="I108" s="12" t="s">
        <v>18</v>
      </c>
      <c r="J108" s="14" t="s">
        <v>18</v>
      </c>
      <c r="K108" s="16" t="s">
        <v>18</v>
      </c>
      <c r="L108" s="12">
        <v>4751</v>
      </c>
      <c r="M108" s="14">
        <v>101.5</v>
      </c>
      <c r="N108" s="16">
        <f>yield(+WORKDAY(TODAY(),1,0),G108,E108,M108,100,2,1)</f>
      </c>
    </row>
    <row r="109" spans="1:14">
      <c r="A109" s="5" t="s">
        <v>127</v>
      </c>
      <c r="B109" s="5" t="s">
        <v>128</v>
      </c>
      <c r="C109" s="5" t="s">
        <v>81</v>
      </c>
      <c r="D109" s="7">
        <v>100000.0</v>
      </c>
      <c r="E109" s="9">
        <v>0.161</v>
      </c>
      <c r="F109" s="11" t="s">
        <v>129</v>
      </c>
      <c r="G109" s="11" t="s">
        <v>130</v>
      </c>
      <c r="H109" s="7">
        <v>100.0</v>
      </c>
      <c r="I109" s="13">
        <v>1</v>
      </c>
      <c r="J109" s="15">
        <v>100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131</v>
      </c>
      <c r="B110" s="4" t="s">
        <v>132</v>
      </c>
      <c r="C110" s="4" t="s">
        <v>81</v>
      </c>
      <c r="D110" s="6">
        <v>100000.0</v>
      </c>
      <c r="E110" s="8">
        <v>0.166</v>
      </c>
      <c r="F110" s="10" t="s">
        <v>113</v>
      </c>
      <c r="G110" s="10" t="s">
        <v>133</v>
      </c>
      <c r="H110" s="6">
        <v>98.0</v>
      </c>
      <c r="I110" s="12">
        <v>1</v>
      </c>
      <c r="J110" s="14">
        <v>98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134</v>
      </c>
      <c r="B111" s="5" t="s">
        <v>135</v>
      </c>
      <c r="C111" s="5" t="s">
        <v>81</v>
      </c>
      <c r="D111" s="7">
        <v>1000.0</v>
      </c>
      <c r="E111" s="9">
        <v>0.21</v>
      </c>
      <c r="F111" s="11" t="s">
        <v>136</v>
      </c>
      <c r="G111" s="11" t="s">
        <v>137</v>
      </c>
      <c r="H111" s="7">
        <v>114.5</v>
      </c>
      <c r="I111" s="13">
        <v>12000</v>
      </c>
      <c r="J111" s="15">
        <v>112</v>
      </c>
      <c r="K111" s="17">
        <f>yield(+WORKDAY(TODAY(),1,0),G111,E111,J111,100,2,1)</f>
      </c>
      <c r="L111" s="13">
        <v>107493</v>
      </c>
      <c r="M111" s="15">
        <v>114.5</v>
      </c>
      <c r="N111" s="17">
        <f>yield(+WORKDAY(TODAY(),1,0),G111,E111,M111,100,2,1)</f>
      </c>
    </row>
    <row r="112" spans="1:14">
      <c r="A112" s="4" t="s">
        <v>134</v>
      </c>
      <c r="B112" s="4" t="s">
        <v>135</v>
      </c>
      <c r="C112" s="4" t="s">
        <v>81</v>
      </c>
      <c r="D112" s="6">
        <v>1000.0</v>
      </c>
      <c r="E112" s="8">
        <v>0.21</v>
      </c>
      <c r="F112" s="10" t="s">
        <v>136</v>
      </c>
      <c r="G112" s="10" t="s">
        <v>137</v>
      </c>
      <c r="H112" s="6">
        <v>114.5</v>
      </c>
      <c r="I112" s="12">
        <v>2294</v>
      </c>
      <c r="J112" s="14">
        <v>110</v>
      </c>
      <c r="K112" s="16">
        <f>yield(+WORKDAY(TODAY(),1,0),G112,E112,J112,100,2,1)</f>
      </c>
      <c r="L112" s="12">
        <v>4165</v>
      </c>
      <c r="M112" s="14">
        <v>118</v>
      </c>
      <c r="N112" s="16">
        <f>yield(+WORKDAY(TODAY(),1,0),G112,E112,M112,100,2,1)</f>
      </c>
    </row>
    <row r="113" spans="1:14">
      <c r="A113" s="5" t="s">
        <v>134</v>
      </c>
      <c r="B113" s="5" t="s">
        <v>135</v>
      </c>
      <c r="C113" s="5" t="s">
        <v>81</v>
      </c>
      <c r="D113" s="7">
        <v>1000.0</v>
      </c>
      <c r="E113" s="9">
        <v>0.21</v>
      </c>
      <c r="F113" s="11" t="s">
        <v>136</v>
      </c>
      <c r="G113" s="11" t="s">
        <v>137</v>
      </c>
      <c r="H113" s="7">
        <v>114.5</v>
      </c>
      <c r="I113" s="13">
        <v>1000</v>
      </c>
      <c r="J113" s="15">
        <v>104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134</v>
      </c>
      <c r="B114" s="4" t="s">
        <v>135</v>
      </c>
      <c r="C114" s="4" t="s">
        <v>81</v>
      </c>
      <c r="D114" s="6">
        <v>1000.0</v>
      </c>
      <c r="E114" s="8">
        <v>0.21</v>
      </c>
      <c r="F114" s="10" t="s">
        <v>136</v>
      </c>
      <c r="G114" s="10" t="s">
        <v>137</v>
      </c>
      <c r="H114" s="6">
        <v>114.5</v>
      </c>
      <c r="I114" s="12">
        <v>244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138</v>
      </c>
      <c r="B115" s="5" t="s">
        <v>139</v>
      </c>
      <c r="C115" s="5" t="s">
        <v>81</v>
      </c>
      <c r="D115" s="7">
        <v>1000.0</v>
      </c>
      <c r="E115" s="9">
        <v>0.23</v>
      </c>
      <c r="F115" s="11" t="s">
        <v>140</v>
      </c>
      <c r="G115" s="11" t="s">
        <v>141</v>
      </c>
      <c r="H115" s="7">
        <v>127.0</v>
      </c>
      <c r="I115" s="13">
        <v>1000</v>
      </c>
      <c r="J115" s="15">
        <v>121</v>
      </c>
      <c r="K115" s="17">
        <f>yield(+WORKDAY(TODAY(),1,0),G115,E115,J115,100,2,1)</f>
      </c>
      <c r="L115" s="13">
        <v>8161</v>
      </c>
      <c r="M115" s="15">
        <v>127</v>
      </c>
      <c r="N115" s="17">
        <f>yield(+WORKDAY(TODAY(),1,0),G115,E115,M115,100,2,1)</f>
      </c>
    </row>
    <row r="116" spans="1:14">
      <c r="A116" s="4" t="s">
        <v>138</v>
      </c>
      <c r="B116" s="4" t="s">
        <v>139</v>
      </c>
      <c r="C116" s="4" t="s">
        <v>81</v>
      </c>
      <c r="D116" s="6">
        <v>1000.0</v>
      </c>
      <c r="E116" s="8">
        <v>0.23</v>
      </c>
      <c r="F116" s="10" t="s">
        <v>140</v>
      </c>
      <c r="G116" s="10" t="s">
        <v>141</v>
      </c>
      <c r="H116" s="6">
        <v>127.0</v>
      </c>
      <c r="I116" s="12">
        <v>13607</v>
      </c>
      <c r="J116" s="14">
        <v>120</v>
      </c>
      <c r="K116" s="16">
        <f>yield(+WORKDAY(TODAY(),1,0),G116,E116,J116,100,2,1)</f>
      </c>
      <c r="L116" s="12">
        <v>926</v>
      </c>
      <c r="M116" s="14">
        <v>128.5</v>
      </c>
      <c r="N116" s="16">
        <f>yield(+WORKDAY(TODAY(),1,0),G116,E116,M116,100,2,1)</f>
      </c>
    </row>
    <row r="117" spans="1:14">
      <c r="A117" s="5" t="s">
        <v>138</v>
      </c>
      <c r="B117" s="5" t="s">
        <v>139</v>
      </c>
      <c r="C117" s="5" t="s">
        <v>81</v>
      </c>
      <c r="D117" s="7">
        <v>1000.0</v>
      </c>
      <c r="E117" s="9">
        <v>0.23</v>
      </c>
      <c r="F117" s="11" t="s">
        <v>140</v>
      </c>
      <c r="G117" s="11" t="s">
        <v>141</v>
      </c>
      <c r="H117" s="7">
        <v>127.0</v>
      </c>
      <c r="I117" s="13">
        <v>1504</v>
      </c>
      <c r="J117" s="15">
        <v>114</v>
      </c>
      <c r="K117" s="17">
        <f>yield(+WORKDAY(TODAY(),1,0),G117,E117,J117,100,2,1)</f>
      </c>
      <c r="L117" s="13">
        <v>429862</v>
      </c>
      <c r="M117" s="15">
        <v>129</v>
      </c>
      <c r="N117" s="17">
        <f>yield(+WORKDAY(TODAY(),1,0),G117,E117,M117,100,2,1)</f>
      </c>
    </row>
    <row r="118" spans="1:14">
      <c r="A118" s="4" t="s">
        <v>138</v>
      </c>
      <c r="B118" s="4" t="s">
        <v>139</v>
      </c>
      <c r="C118" s="4" t="s">
        <v>81</v>
      </c>
      <c r="D118" s="6">
        <v>1000.0</v>
      </c>
      <c r="E118" s="8">
        <v>0.23</v>
      </c>
      <c r="F118" s="10" t="s">
        <v>140</v>
      </c>
      <c r="G118" s="10" t="s">
        <v>141</v>
      </c>
      <c r="H118" s="6">
        <v>127.0</v>
      </c>
      <c r="I118" s="12">
        <v>105493</v>
      </c>
      <c r="J118" s="14">
        <v>104</v>
      </c>
      <c r="K118" s="16">
        <f>yield(+WORKDAY(TODAY(),1,0),G118,E118,J118,100,2,1)</f>
      </c>
      <c r="L118" s="12">
        <v>30</v>
      </c>
      <c r="M118" s="14">
        <v>129.5</v>
      </c>
      <c r="N118" s="16">
        <f>yield(+WORKDAY(TODAY(),1,0),G118,E118,M118,100,2,1)</f>
      </c>
    </row>
    <row r="119" spans="1:14">
      <c r="A119" s="5" t="s">
        <v>138</v>
      </c>
      <c r="B119" s="5" t="s">
        <v>139</v>
      </c>
      <c r="C119" s="5" t="s">
        <v>81</v>
      </c>
      <c r="D119" s="7">
        <v>1000.0</v>
      </c>
      <c r="E119" s="9">
        <v>0.23</v>
      </c>
      <c r="F119" s="11" t="s">
        <v>140</v>
      </c>
      <c r="G119" s="11" t="s">
        <v>141</v>
      </c>
      <c r="H119" s="7">
        <v>127.0</v>
      </c>
      <c r="I119" s="13">
        <v>52081</v>
      </c>
      <c r="J119" s="15">
        <v>93</v>
      </c>
      <c r="K119" s="17">
        <f>yield(+WORKDAY(TODAY(),1,0),G119,E119,J119,100,2,1)</f>
      </c>
      <c r="L119" s="13">
        <v>651</v>
      </c>
      <c r="M119" s="15">
        <v>134</v>
      </c>
      <c r="N119" s="17">
        <f>yield(+WORKDAY(TODAY(),1,0),G119,E119,M119,100,2,1)</f>
      </c>
    </row>
    <row r="120" spans="1:14">
      <c r="A120" s="4" t="s">
        <v>138</v>
      </c>
      <c r="B120" s="4" t="s">
        <v>139</v>
      </c>
      <c r="C120" s="4" t="s">
        <v>81</v>
      </c>
      <c r="D120" s="6">
        <v>1000.0</v>
      </c>
      <c r="E120" s="8">
        <v>0.23</v>
      </c>
      <c r="F120" s="10" t="s">
        <v>140</v>
      </c>
      <c r="G120" s="10" t="s">
        <v>141</v>
      </c>
      <c r="H120" s="6">
        <v>127.0</v>
      </c>
      <c r="I120" s="12" t="s">
        <v>18</v>
      </c>
      <c r="J120" s="14" t="s">
        <v>18</v>
      </c>
      <c r="K120" s="16" t="s">
        <v>18</v>
      </c>
      <c r="L120" s="12">
        <v>760</v>
      </c>
      <c r="M120" s="14">
        <v>140</v>
      </c>
      <c r="N120" s="16">
        <f>yield(+WORKDAY(TODAY(),1,0),G120,E120,M120,100,2,1)</f>
      </c>
    </row>
    <row r="121" spans="1:14">
      <c r="A121" s="5" t="s">
        <v>142</v>
      </c>
      <c r="B121" s="5" t="s">
        <v>143</v>
      </c>
      <c r="C121" s="5" t="s">
        <v>81</v>
      </c>
      <c r="D121" s="7">
        <v>1000.0</v>
      </c>
      <c r="E121" s="9">
        <v>0.173</v>
      </c>
      <c r="F121" s="11" t="s">
        <v>144</v>
      </c>
      <c r="G121" s="11" t="s">
        <v>145</v>
      </c>
      <c r="H121" s="7">
        <v>101.21899999999999</v>
      </c>
      <c r="I121" s="13" t="s">
        <v>18</v>
      </c>
      <c r="J121" s="15" t="s">
        <v>18</v>
      </c>
      <c r="K121" s="17" t="s">
        <v>18</v>
      </c>
      <c r="L121" s="13">
        <v>14075679</v>
      </c>
      <c r="M121" s="15">
        <v>101.21899999999999</v>
      </c>
      <c r="N121" s="17">
        <f>yield(+WORKDAY(TODAY(),1,0),G121,E121,M121,100,2,1)</f>
      </c>
    </row>
    <row r="122" spans="1:14">
      <c r="A122" s="4" t="s">
        <v>142</v>
      </c>
      <c r="B122" s="4" t="s">
        <v>143</v>
      </c>
      <c r="C122" s="4" t="s">
        <v>81</v>
      </c>
      <c r="D122" s="6">
        <v>1000.0</v>
      </c>
      <c r="E122" s="8">
        <v>0.173</v>
      </c>
      <c r="F122" s="10" t="s">
        <v>144</v>
      </c>
      <c r="G122" s="10" t="s">
        <v>145</v>
      </c>
      <c r="H122" s="6">
        <v>101.21899999999999</v>
      </c>
      <c r="I122" s="12" t="s">
        <v>18</v>
      </c>
      <c r="J122" s="14" t="s">
        <v>18</v>
      </c>
      <c r="K122" s="16" t="s">
        <v>18</v>
      </c>
      <c r="L122" s="12">
        <v>963017</v>
      </c>
      <c r="M122" s="14">
        <v>101.65000000000001</v>
      </c>
      <c r="N122" s="16">
        <f>yield(+WORKDAY(TODAY(),1,0),G122,E122,M122,100,2,1)</f>
      </c>
    </row>
    <row r="123" spans="1:14">
      <c r="A123" s="5" t="s">
        <v>146</v>
      </c>
      <c r="B123" s="5" t="s">
        <v>147</v>
      </c>
      <c r="C123" s="5" t="s">
        <v>81</v>
      </c>
      <c r="D123" s="7">
        <v>1000.0</v>
      </c>
      <c r="E123" s="9">
        <v>0.1915</v>
      </c>
      <c r="F123" s="11" t="s">
        <v>148</v>
      </c>
      <c r="G123" s="11" t="s">
        <v>149</v>
      </c>
      <c r="H123" s="7">
        <v>110.0</v>
      </c>
      <c r="I123" s="13">
        <v>40</v>
      </c>
      <c r="J123" s="15">
        <v>100</v>
      </c>
      <c r="K123" s="17">
        <f>yield(+WORKDAY(TODAY(),1,0),G123,E123,J123,100,2,1)</f>
      </c>
      <c r="L123" s="13">
        <v>185</v>
      </c>
      <c r="M123" s="15">
        <v>110</v>
      </c>
      <c r="N123" s="17">
        <f>yield(+WORKDAY(TODAY(),1,0),G123,E123,M123,100,2,1)</f>
      </c>
    </row>
    <row r="124" spans="1:14">
      <c r="A124" s="4" t="s">
        <v>150</v>
      </c>
      <c r="B124" s="4" t="s">
        <v>151</v>
      </c>
      <c r="C124" s="4" t="s">
        <v>81</v>
      </c>
      <c r="D124" s="6">
        <v>1000.0</v>
      </c>
      <c r="E124" s="8">
        <v>0.16</v>
      </c>
      <c r="F124" s="10" t="s">
        <v>152</v>
      </c>
      <c r="G124" s="10" t="s">
        <v>153</v>
      </c>
      <c r="H124" s="6">
        <v>97.5</v>
      </c>
      <c r="I124" s="12">
        <v>63972</v>
      </c>
      <c r="J124" s="14">
        <v>98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150</v>
      </c>
      <c r="B125" s="5" t="s">
        <v>151</v>
      </c>
      <c r="C125" s="5" t="s">
        <v>81</v>
      </c>
      <c r="D125" s="7">
        <v>1000.0</v>
      </c>
      <c r="E125" s="9">
        <v>0.16</v>
      </c>
      <c r="F125" s="11" t="s">
        <v>152</v>
      </c>
      <c r="G125" s="11" t="s">
        <v>153</v>
      </c>
      <c r="H125" s="7">
        <v>97.5</v>
      </c>
      <c r="I125" s="13">
        <v>44088</v>
      </c>
      <c r="J125" s="15">
        <v>94.5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154</v>
      </c>
      <c r="B126" s="4" t="s">
        <v>155</v>
      </c>
      <c r="C126" s="4" t="s">
        <v>81</v>
      </c>
      <c r="D126" s="6">
        <v>1000.0</v>
      </c>
      <c r="E126" s="8">
        <v>0.1</v>
      </c>
      <c r="F126" s="10" t="s">
        <v>156</v>
      </c>
      <c r="G126" s="10" t="s">
        <v>157</v>
      </c>
      <c r="H126" s="6">
        <v>79.199</v>
      </c>
      <c r="I126" s="12">
        <v>413043</v>
      </c>
      <c r="J126" s="14">
        <v>75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158</v>
      </c>
      <c r="B127" s="5" t="s">
        <v>159</v>
      </c>
      <c r="C127" s="5" t="s">
        <v>81</v>
      </c>
      <c r="D127" s="7">
        <v>1000.0</v>
      </c>
      <c r="E127" s="9">
        <v>0.15</v>
      </c>
      <c r="F127" s="11" t="s">
        <v>160</v>
      </c>
      <c r="G127" s="11" t="s">
        <v>161</v>
      </c>
      <c r="H127" s="7">
        <v>99.0</v>
      </c>
      <c r="I127" s="13">
        <v>1016570</v>
      </c>
      <c r="J127" s="15">
        <v>99.17100000000001</v>
      </c>
      <c r="K127" s="17">
        <f>yield(+WORKDAY(TODAY(),1,0),G127,E127,J127,100,2,1)</f>
      </c>
      <c r="L127" s="13">
        <v>199040</v>
      </c>
      <c r="M127" s="15">
        <v>101.214</v>
      </c>
      <c r="N127" s="17">
        <f>yield(+WORKDAY(TODAY(),1,0),G127,E127,M127,100,2,1)</f>
      </c>
    </row>
    <row r="128" spans="1:14">
      <c r="A128" s="4" t="s">
        <v>158</v>
      </c>
      <c r="B128" s="4" t="s">
        <v>159</v>
      </c>
      <c r="C128" s="4" t="s">
        <v>81</v>
      </c>
      <c r="D128" s="6">
        <v>1000.0</v>
      </c>
      <c r="E128" s="8">
        <v>0.15</v>
      </c>
      <c r="F128" s="10" t="s">
        <v>160</v>
      </c>
      <c r="G128" s="10" t="s">
        <v>161</v>
      </c>
      <c r="H128" s="6">
        <v>99.0</v>
      </c>
      <c r="I128" s="12" t="s">
        <v>18</v>
      </c>
      <c r="J128" s="14" t="s">
        <v>18</v>
      </c>
      <c r="K128" s="16" t="s">
        <v>18</v>
      </c>
      <c r="L128" s="12">
        <v>1016570</v>
      </c>
      <c r="M128" s="14">
        <v>101.312</v>
      </c>
      <c r="N128" s="16">
        <f>yield(+WORKDAY(TODAY(),1,0),G128,E128,M128,100,2,1)</f>
      </c>
    </row>
    <row r="129" spans="1:14">
      <c r="A129" s="5" t="s">
        <v>162</v>
      </c>
      <c r="B129" s="5" t="s">
        <v>163</v>
      </c>
      <c r="C129" s="5" t="s">
        <v>81</v>
      </c>
      <c r="D129" s="7">
        <v>1000.0</v>
      </c>
      <c r="E129" s="9">
        <v>0.15</v>
      </c>
      <c r="F129" s="11" t="s">
        <v>164</v>
      </c>
      <c r="G129" s="11" t="s">
        <v>165</v>
      </c>
      <c r="H129" s="7">
        <v>100.453</v>
      </c>
      <c r="I129" s="13">
        <v>1578527</v>
      </c>
      <c r="J129" s="15">
        <v>99.031000000000006</v>
      </c>
      <c r="K129" s="17">
        <f>yield(+WORKDAY(TODAY(),1,0),G129,E129,J129,100,2,1)</f>
      </c>
      <c r="L129" s="13">
        <v>1578527</v>
      </c>
      <c r="M129" s="15">
        <v>101.71599999999999</v>
      </c>
      <c r="N129" s="17">
        <f>yield(+WORKDAY(TODAY(),1,0),G129,E129,M129,100,2,1)</f>
      </c>
    </row>
    <row r="130" spans="1:14">
      <c r="A130" s="4" t="s">
        <v>166</v>
      </c>
      <c r="B130" s="4" t="s">
        <v>167</v>
      </c>
      <c r="C130" s="4" t="s">
        <v>81</v>
      </c>
      <c r="D130" s="6">
        <v>1000.0</v>
      </c>
      <c r="E130" s="8">
        <v>0.1675</v>
      </c>
      <c r="F130" s="10" t="s">
        <v>156</v>
      </c>
      <c r="G130" s="10" t="s">
        <v>168</v>
      </c>
      <c r="H130" s="6">
        <v>102.932</v>
      </c>
      <c r="I130" s="12" t="s">
        <v>18</v>
      </c>
      <c r="J130" s="14" t="s">
        <v>18</v>
      </c>
      <c r="K130" s="16" t="s">
        <v>18</v>
      </c>
      <c r="L130" s="12">
        <v>187789</v>
      </c>
      <c r="M130" s="14">
        <v>102.932</v>
      </c>
      <c r="N130" s="16">
        <f>yield(+WORKDAY(TODAY(),1,0),G130,E130,M130,100,2,1)</f>
      </c>
    </row>
    <row r="131" spans="1:14">
      <c r="A131" s="5" t="s">
        <v>169</v>
      </c>
      <c r="B131" s="5" t="s">
        <v>170</v>
      </c>
      <c r="C131" s="5" t="s">
        <v>81</v>
      </c>
      <c r="D131" s="7">
        <v>1000.0</v>
      </c>
      <c r="E131" s="9">
        <v>0.1675</v>
      </c>
      <c r="F131" s="11" t="s">
        <v>171</v>
      </c>
      <c r="G131" s="11" t="s">
        <v>172</v>
      </c>
      <c r="H131" s="7">
        <v>98.0</v>
      </c>
      <c r="I131" s="13">
        <v>23000</v>
      </c>
      <c r="J131" s="15">
        <v>97.59999999999999</v>
      </c>
      <c r="K131" s="17">
        <f>yield(+WORKDAY(TODAY(),1,0),G131,E131,J131,100,2,1)</f>
      </c>
      <c r="L131" s="13">
        <v>1567542</v>
      </c>
      <c r="M131" s="15">
        <v>103.015000000000001</v>
      </c>
      <c r="N131" s="17">
        <f>yield(+WORKDAY(TODAY(),1,0),G131,E131,M131,100,2,1)</f>
      </c>
    </row>
    <row r="132" spans="1:14">
      <c r="A132" s="4" t="s">
        <v>173</v>
      </c>
      <c r="B132" s="4" t="s">
        <v>174</v>
      </c>
      <c r="C132" s="4" t="s">
        <v>81</v>
      </c>
      <c r="D132" s="6">
        <v>1000.0</v>
      </c>
      <c r="E132" s="8">
        <v>0.17</v>
      </c>
      <c r="F132" s="10" t="s">
        <v>175</v>
      </c>
      <c r="G132" s="10" t="s">
        <v>176</v>
      </c>
      <c r="H132" s="6">
        <v>98.0</v>
      </c>
      <c r="I132" s="12" t="s">
        <v>18</v>
      </c>
      <c r="J132" s="14" t="s">
        <v>18</v>
      </c>
      <c r="K132" s="16" t="s">
        <v>18</v>
      </c>
      <c r="L132" s="12">
        <v>23489</v>
      </c>
      <c r="M132" s="14">
        <v>98</v>
      </c>
      <c r="N132" s="16">
        <f>yield(+WORKDAY(TODAY(),1,0),G132,E132,M132,100,2,1)</f>
      </c>
    </row>
    <row r="133" spans="1:14">
      <c r="A133" s="5" t="s">
        <v>173</v>
      </c>
      <c r="B133" s="5" t="s">
        <v>174</v>
      </c>
      <c r="C133" s="5" t="s">
        <v>81</v>
      </c>
      <c r="D133" s="7">
        <v>1000.0</v>
      </c>
      <c r="E133" s="9">
        <v>0.17</v>
      </c>
      <c r="F133" s="11" t="s">
        <v>175</v>
      </c>
      <c r="G133" s="11" t="s">
        <v>176</v>
      </c>
      <c r="H133" s="7">
        <v>98.0</v>
      </c>
      <c r="I133" s="13" t="s">
        <v>18</v>
      </c>
      <c r="J133" s="15" t="s">
        <v>18</v>
      </c>
      <c r="K133" s="17" t="s">
        <v>18</v>
      </c>
      <c r="L133" s="13">
        <v>7078</v>
      </c>
      <c r="M133" s="15">
        <v>98.5</v>
      </c>
      <c r="N133" s="17">
        <f>yield(+WORKDAY(TODAY(),1,0),G133,E133,M133,100,2,1)</f>
      </c>
    </row>
    <row r="134" spans="1:14">
      <c r="A134" s="4" t="s">
        <v>173</v>
      </c>
      <c r="B134" s="4" t="s">
        <v>174</v>
      </c>
      <c r="C134" s="4" t="s">
        <v>81</v>
      </c>
      <c r="D134" s="6">
        <v>1000.0</v>
      </c>
      <c r="E134" s="8">
        <v>0.17</v>
      </c>
      <c r="F134" s="10" t="s">
        <v>175</v>
      </c>
      <c r="G134" s="10" t="s">
        <v>176</v>
      </c>
      <c r="H134" s="6">
        <v>98.0</v>
      </c>
      <c r="I134" s="12" t="s">
        <v>18</v>
      </c>
      <c r="J134" s="14" t="s">
        <v>18</v>
      </c>
      <c r="K134" s="16" t="s">
        <v>18</v>
      </c>
      <c r="L134" s="12">
        <v>5800</v>
      </c>
      <c r="M134" s="14">
        <v>101</v>
      </c>
      <c r="N134" s="16">
        <f>yield(+WORKDAY(TODAY(),1,0),G134,E134,M134,100,2,1)</f>
      </c>
    </row>
    <row r="135" spans="1:14">
      <c r="A135" s="5" t="s">
        <v>177</v>
      </c>
      <c r="B135" s="5" t="s">
        <v>178</v>
      </c>
      <c r="C135" s="5" t="s">
        <v>81</v>
      </c>
      <c r="D135" s="7">
        <v>1000.0</v>
      </c>
      <c r="E135" s="9">
        <v>0.17</v>
      </c>
      <c r="F135" s="11" t="s">
        <v>179</v>
      </c>
      <c r="G135" s="11" t="s">
        <v>180</v>
      </c>
      <c r="H135" s="7">
        <v>96.5</v>
      </c>
      <c r="I135" s="13">
        <v>200</v>
      </c>
      <c r="J135" s="15">
        <v>96</v>
      </c>
      <c r="K135" s="17">
        <f>yield(+WORKDAY(TODAY(),1,0),G135,E135,J135,100,2,1)</f>
      </c>
      <c r="L135" s="13">
        <v>2018</v>
      </c>
      <c r="M135" s="15">
        <v>97</v>
      </c>
      <c r="N135" s="17">
        <f>yield(+WORKDAY(TODAY(),1,0),G135,E135,M135,100,2,1)</f>
      </c>
    </row>
    <row r="136" spans="1:14">
      <c r="A136" s="4" t="s">
        <v>177</v>
      </c>
      <c r="B136" s="4" t="s">
        <v>178</v>
      </c>
      <c r="C136" s="4" t="s">
        <v>81</v>
      </c>
      <c r="D136" s="6">
        <v>1000.0</v>
      </c>
      <c r="E136" s="8">
        <v>0.17</v>
      </c>
      <c r="F136" s="10" t="s">
        <v>179</v>
      </c>
      <c r="G136" s="10" t="s">
        <v>180</v>
      </c>
      <c r="H136" s="6">
        <v>96.5</v>
      </c>
      <c r="I136" s="12">
        <v>3070</v>
      </c>
      <c r="J136" s="14">
        <v>93</v>
      </c>
      <c r="K136" s="16">
        <f>yield(+WORKDAY(TODAY(),1,0),G136,E136,J136,100,2,1)</f>
      </c>
      <c r="L136" s="12">
        <v>6</v>
      </c>
      <c r="M136" s="14">
        <v>97.5</v>
      </c>
      <c r="N136" s="16">
        <f>yield(+WORKDAY(TODAY(),1,0),G136,E136,M136,100,2,1)</f>
      </c>
    </row>
    <row r="137" spans="1:14">
      <c r="A137" s="5" t="s">
        <v>181</v>
      </c>
      <c r="B137" s="5" t="s">
        <v>182</v>
      </c>
      <c r="C137" s="5" t="s">
        <v>81</v>
      </c>
      <c r="D137" s="7">
        <v>1000.0</v>
      </c>
      <c r="E137" s="9">
        <v>0.17</v>
      </c>
      <c r="F137" s="11" t="s">
        <v>183</v>
      </c>
      <c r="G137" s="11" t="s">
        <v>184</v>
      </c>
      <c r="H137" s="7">
        <v>104.0</v>
      </c>
      <c r="I137" s="13">
        <v>125</v>
      </c>
      <c r="J137" s="15">
        <v>96</v>
      </c>
      <c r="K137" s="17">
        <f>yield(+WORKDAY(TODAY(),1,0),G137,E137,J137,100,2,1)</f>
      </c>
      <c r="L137" s="13">
        <v>1891</v>
      </c>
      <c r="M137" s="15">
        <v>104</v>
      </c>
      <c r="N137" s="17">
        <f>yield(+WORKDAY(TODAY(),1,0),G137,E137,M137,100,2,1)</f>
      </c>
    </row>
    <row r="138" spans="1:14">
      <c r="A138" s="4" t="s">
        <v>185</v>
      </c>
      <c r="B138" s="4" t="s">
        <v>186</v>
      </c>
      <c r="C138" s="4" t="s">
        <v>81</v>
      </c>
      <c r="D138" s="6">
        <v>1000.0</v>
      </c>
      <c r="E138" s="8">
        <v>0.17</v>
      </c>
      <c r="F138" s="10" t="s">
        <v>187</v>
      </c>
      <c r="G138" s="10" t="s">
        <v>188</v>
      </c>
      <c r="H138" s="6">
        <v>96.8</v>
      </c>
      <c r="I138" s="12">
        <v>17</v>
      </c>
      <c r="J138" s="14">
        <v>96.8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185</v>
      </c>
      <c r="B139" s="5" t="s">
        <v>186</v>
      </c>
      <c r="C139" s="5" t="s">
        <v>81</v>
      </c>
      <c r="D139" s="7">
        <v>1000.0</v>
      </c>
      <c r="E139" s="9">
        <v>0.17</v>
      </c>
      <c r="F139" s="11" t="s">
        <v>187</v>
      </c>
      <c r="G139" s="11" t="s">
        <v>188</v>
      </c>
      <c r="H139" s="7">
        <v>96.8</v>
      </c>
      <c r="I139" s="13">
        <v>30</v>
      </c>
      <c r="J139" s="15">
        <v>96.7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189</v>
      </c>
      <c r="B140" s="4" t="s">
        <v>190</v>
      </c>
      <c r="C140" s="4" t="s">
        <v>81</v>
      </c>
      <c r="D140" s="6">
        <v>1000.0</v>
      </c>
      <c r="E140" s="8">
        <v>0.1725</v>
      </c>
      <c r="F140" s="10" t="s">
        <v>191</v>
      </c>
      <c r="G140" s="10" t="s">
        <v>192</v>
      </c>
      <c r="H140" s="6">
        <v>100.0</v>
      </c>
      <c r="I140" s="12" t="s">
        <v>18</v>
      </c>
      <c r="J140" s="14" t="s">
        <v>18</v>
      </c>
      <c r="K140" s="16" t="s">
        <v>18</v>
      </c>
      <c r="L140" s="12">
        <v>505</v>
      </c>
      <c r="M140" s="14">
        <v>99.95</v>
      </c>
      <c r="N140" s="16">
        <f>yield(+WORKDAY(TODAY(),1,0),G140,E140,M140,100,2,1)</f>
      </c>
    </row>
    <row r="141" spans="1:14">
      <c r="A141" s="5" t="s">
        <v>189</v>
      </c>
      <c r="B141" s="5" t="s">
        <v>190</v>
      </c>
      <c r="C141" s="5" t="s">
        <v>81</v>
      </c>
      <c r="D141" s="7">
        <v>1000.0</v>
      </c>
      <c r="E141" s="9">
        <v>0.1725</v>
      </c>
      <c r="F141" s="11" t="s">
        <v>191</v>
      </c>
      <c r="G141" s="11" t="s">
        <v>192</v>
      </c>
      <c r="H141" s="7">
        <v>100.0</v>
      </c>
      <c r="I141" s="13" t="s">
        <v>18</v>
      </c>
      <c r="J141" s="15" t="s">
        <v>18</v>
      </c>
      <c r="K141" s="17" t="s">
        <v>18</v>
      </c>
      <c r="L141" s="13">
        <v>4218</v>
      </c>
      <c r="M141" s="15">
        <v>100</v>
      </c>
      <c r="N141" s="17">
        <f>yield(+WORKDAY(TODAY(),1,0),G141,E141,M141,100,2,1)</f>
      </c>
    </row>
    <row r="142" spans="1:14">
      <c r="A142" s="4" t="s">
        <v>193</v>
      </c>
      <c r="B142" s="4" t="s">
        <v>194</v>
      </c>
      <c r="C142" s="4" t="s">
        <v>81</v>
      </c>
      <c r="D142" s="6">
        <v>1000.0</v>
      </c>
      <c r="E142" s="8">
        <v>0.1675</v>
      </c>
      <c r="F142" s="10" t="s">
        <v>183</v>
      </c>
      <c r="G142" s="10" t="s">
        <v>195</v>
      </c>
      <c r="H142" s="6">
        <v>99.0</v>
      </c>
      <c r="I142" s="12">
        <v>1150</v>
      </c>
      <c r="J142" s="14">
        <v>93</v>
      </c>
      <c r="K142" s="16">
        <f>yield(+WORKDAY(TODAY(),1,0),G142,E142,J142,100,2,1)</f>
      </c>
      <c r="L142" s="12">
        <v>2527940</v>
      </c>
      <c r="M142" s="14">
        <v>99</v>
      </c>
      <c r="N142" s="16">
        <f>yield(+WORKDAY(TODAY(),1,0),G142,E142,M142,100,2,1)</f>
      </c>
    </row>
    <row r="143" spans="1:14">
      <c r="A143" s="5" t="s">
        <v>196</v>
      </c>
      <c r="B143" s="5" t="s">
        <v>197</v>
      </c>
      <c r="C143" s="5" t="s">
        <v>81</v>
      </c>
      <c r="D143" s="7">
        <v>1000.0</v>
      </c>
      <c r="E143" s="9">
        <v>0.1725</v>
      </c>
      <c r="F143" s="11" t="s">
        <v>179</v>
      </c>
      <c r="G143" s="11" t="s">
        <v>180</v>
      </c>
      <c r="H143" s="7">
        <v>100.0</v>
      </c>
      <c r="I143" s="13">
        <v>305</v>
      </c>
      <c r="J143" s="15">
        <v>95</v>
      </c>
      <c r="K143" s="17">
        <f>yield(+WORKDAY(TODAY(),1,0),G143,E143,J143,100,2,1)</f>
      </c>
      <c r="L143" s="13">
        <v>10180</v>
      </c>
      <c r="M143" s="15">
        <v>100</v>
      </c>
      <c r="N143" s="17">
        <f>yield(+WORKDAY(TODAY(),1,0),G143,E143,M143,100,2,1)</f>
      </c>
    </row>
    <row r="144" spans="1:14">
      <c r="A144" s="4" t="s">
        <v>196</v>
      </c>
      <c r="B144" s="4" t="s">
        <v>197</v>
      </c>
      <c r="C144" s="4" t="s">
        <v>81</v>
      </c>
      <c r="D144" s="6">
        <v>1000.0</v>
      </c>
      <c r="E144" s="8">
        <v>0.1725</v>
      </c>
      <c r="F144" s="10" t="s">
        <v>179</v>
      </c>
      <c r="G144" s="10" t="s">
        <v>180</v>
      </c>
      <c r="H144" s="6">
        <v>100.0</v>
      </c>
      <c r="I144" s="12">
        <v>100000</v>
      </c>
      <c r="J144" s="14">
        <v>93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196</v>
      </c>
      <c r="B145" s="5" t="s">
        <v>197</v>
      </c>
      <c r="C145" s="5" t="s">
        <v>81</v>
      </c>
      <c r="D145" s="7">
        <v>1000.0</v>
      </c>
      <c r="E145" s="9">
        <v>0.1725</v>
      </c>
      <c r="F145" s="11" t="s">
        <v>179</v>
      </c>
      <c r="G145" s="11" t="s">
        <v>180</v>
      </c>
      <c r="H145" s="7">
        <v>100.0</v>
      </c>
      <c r="I145" s="13">
        <v>380065</v>
      </c>
      <c r="J145" s="15">
        <v>90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198</v>
      </c>
      <c r="B146" s="4" t="s">
        <v>199</v>
      </c>
      <c r="C146" s="4" t="s">
        <v>81</v>
      </c>
      <c r="D146" s="6">
        <v>1000.0</v>
      </c>
      <c r="E146" s="8">
        <v>0.1725</v>
      </c>
      <c r="F146" s="10" t="s">
        <v>200</v>
      </c>
      <c r="G146" s="10" t="s">
        <v>201</v>
      </c>
      <c r="H146" s="6">
        <v>103.0</v>
      </c>
      <c r="I146" s="12" t="s">
        <v>18</v>
      </c>
      <c r="J146" s="14" t="s">
        <v>18</v>
      </c>
      <c r="K146" s="16" t="s">
        <v>18</v>
      </c>
      <c r="L146" s="12">
        <v>293</v>
      </c>
      <c r="M146" s="14">
        <v>103</v>
      </c>
      <c r="N146" s="16">
        <f>yield(+WORKDAY(TODAY(),1,0),G146,E146,M146,100,2,1)</f>
      </c>
    </row>
    <row r="147" spans="1:14">
      <c r="A147" s="5" t="s">
        <v>202</v>
      </c>
      <c r="B147" s="5" t="s">
        <v>203</v>
      </c>
      <c r="C147" s="5" t="s">
        <v>81</v>
      </c>
      <c r="D147" s="7">
        <v>1000.0</v>
      </c>
      <c r="E147" s="9">
        <v>0.1525</v>
      </c>
      <c r="F147" s="11" t="s">
        <v>39</v>
      </c>
      <c r="G147" s="11" t="s">
        <v>204</v>
      </c>
      <c r="H147" s="7">
        <v>93.40000000000001</v>
      </c>
      <c r="I147" s="13">
        <v>4</v>
      </c>
      <c r="J147" s="15">
        <v>93</v>
      </c>
      <c r="K147" s="17">
        <f>yield(+WORKDAY(TODAY(),1,0),G147,E147,J147,100,2,1)</f>
      </c>
      <c r="L147" s="13">
        <v>8745</v>
      </c>
      <c r="M147" s="15">
        <v>93.40000000000001</v>
      </c>
      <c r="N147" s="17">
        <f>yield(+WORKDAY(TODAY(),1,0),G147,E147,M147,100,2,1)</f>
      </c>
    </row>
    <row r="148" spans="1:14">
      <c r="A148" s="4" t="s">
        <v>202</v>
      </c>
      <c r="B148" s="4" t="s">
        <v>203</v>
      </c>
      <c r="C148" s="4" t="s">
        <v>81</v>
      </c>
      <c r="D148" s="6">
        <v>1000.0</v>
      </c>
      <c r="E148" s="8">
        <v>0.1525</v>
      </c>
      <c r="F148" s="10" t="s">
        <v>39</v>
      </c>
      <c r="G148" s="10" t="s">
        <v>204</v>
      </c>
      <c r="H148" s="6">
        <v>93.40000000000001</v>
      </c>
      <c r="I148" s="12" t="s">
        <v>18</v>
      </c>
      <c r="J148" s="14" t="s">
        <v>18</v>
      </c>
      <c r="K148" s="16" t="s">
        <v>18</v>
      </c>
      <c r="L148" s="12">
        <v>113772</v>
      </c>
      <c r="M148" s="14">
        <v>93.5</v>
      </c>
      <c r="N148" s="16">
        <f>yield(+WORKDAY(TODAY(),1,0),G148,E148,M148,100,2,1)</f>
      </c>
    </row>
    <row r="149" spans="1:14">
      <c r="A149" s="5" t="s">
        <v>202</v>
      </c>
      <c r="B149" s="5" t="s">
        <v>203</v>
      </c>
      <c r="C149" s="5" t="s">
        <v>81</v>
      </c>
      <c r="D149" s="7">
        <v>1000.0</v>
      </c>
      <c r="E149" s="9">
        <v>0.1525</v>
      </c>
      <c r="F149" s="11" t="s">
        <v>39</v>
      </c>
      <c r="G149" s="11" t="s">
        <v>204</v>
      </c>
      <c r="H149" s="7">
        <v>93.40000000000001</v>
      </c>
      <c r="I149" s="13" t="s">
        <v>18</v>
      </c>
      <c r="J149" s="15" t="s">
        <v>18</v>
      </c>
      <c r="K149" s="17" t="s">
        <v>18</v>
      </c>
      <c r="L149" s="13">
        <v>27593</v>
      </c>
      <c r="M149" s="15">
        <v>94</v>
      </c>
      <c r="N149" s="17">
        <f>yield(+WORKDAY(TODAY(),1,0),G149,E149,M149,100,2,1)</f>
      </c>
    </row>
    <row r="150" spans="1:14">
      <c r="A150" s="4" t="s">
        <v>202</v>
      </c>
      <c r="B150" s="4" t="s">
        <v>203</v>
      </c>
      <c r="C150" s="4" t="s">
        <v>81</v>
      </c>
      <c r="D150" s="6">
        <v>1000.0</v>
      </c>
      <c r="E150" s="8">
        <v>0.1525</v>
      </c>
      <c r="F150" s="10" t="s">
        <v>39</v>
      </c>
      <c r="G150" s="10" t="s">
        <v>204</v>
      </c>
      <c r="H150" s="6">
        <v>93.40000000000001</v>
      </c>
      <c r="I150" s="12" t="s">
        <v>18</v>
      </c>
      <c r="J150" s="14" t="s">
        <v>18</v>
      </c>
      <c r="K150" s="16" t="s">
        <v>18</v>
      </c>
      <c r="L150" s="12">
        <v>600</v>
      </c>
      <c r="M150" s="14">
        <v>95</v>
      </c>
      <c r="N150" s="16">
        <f>yield(+WORKDAY(TODAY(),1,0),G150,E150,M150,100,2,1)</f>
      </c>
    </row>
    <row r="151" spans="1:14">
      <c r="A151" s="5" t="s">
        <v>205</v>
      </c>
      <c r="B151" s="5" t="s">
        <v>206</v>
      </c>
      <c r="C151" s="5" t="s">
        <v>81</v>
      </c>
      <c r="D151" s="7">
        <v>1000.0</v>
      </c>
      <c r="E151" s="9">
        <v>0.1525</v>
      </c>
      <c r="F151" s="11" t="s">
        <v>207</v>
      </c>
      <c r="G151" s="11" t="s">
        <v>208</v>
      </c>
      <c r="H151" s="7">
        <v>96.0</v>
      </c>
      <c r="I151" s="13">
        <v>300</v>
      </c>
      <c r="J151" s="15">
        <v>95</v>
      </c>
      <c r="K151" s="17">
        <f>yield(+WORKDAY(TODAY(),1,0),G151,E151,J151,100,2,1)</f>
      </c>
      <c r="L151" s="13">
        <v>128</v>
      </c>
      <c r="M151" s="15">
        <v>95.5</v>
      </c>
      <c r="N151" s="17">
        <f>yield(+WORKDAY(TODAY(),1,0),G151,E151,M151,100,2,1)</f>
      </c>
    </row>
    <row r="152" spans="1:14">
      <c r="A152" s="4" t="s">
        <v>209</v>
      </c>
      <c r="B152" s="4" t="s">
        <v>210</v>
      </c>
      <c r="C152" s="4" t="s">
        <v>81</v>
      </c>
      <c r="D152" s="6">
        <v>1000.0</v>
      </c>
      <c r="E152" s="8">
        <v>0.17</v>
      </c>
      <c r="F152" s="10" t="s">
        <v>211</v>
      </c>
      <c r="G152" s="10" t="s">
        <v>212</v>
      </c>
      <c r="H152" s="6">
        <v>100.0</v>
      </c>
      <c r="I152" s="12" t="s">
        <v>18</v>
      </c>
      <c r="J152" s="14" t="s">
        <v>18</v>
      </c>
      <c r="K152" s="16" t="s">
        <v>18</v>
      </c>
      <c r="L152" s="12">
        <v>1503</v>
      </c>
      <c r="M152" s="14">
        <v>100</v>
      </c>
      <c r="N152" s="16">
        <f>yield(+WORKDAY(TODAY(),1,0),G152,E152,M152,100,2,1)</f>
      </c>
    </row>
    <row r="153" spans="1:14">
      <c r="A153" s="5" t="s">
        <v>209</v>
      </c>
      <c r="B153" s="5" t="s">
        <v>210</v>
      </c>
      <c r="C153" s="5" t="s">
        <v>81</v>
      </c>
      <c r="D153" s="7">
        <v>1000.0</v>
      </c>
      <c r="E153" s="9">
        <v>0.17</v>
      </c>
      <c r="F153" s="11" t="s">
        <v>211</v>
      </c>
      <c r="G153" s="11" t="s">
        <v>212</v>
      </c>
      <c r="H153" s="7">
        <v>100.0</v>
      </c>
      <c r="I153" s="13" t="s">
        <v>18</v>
      </c>
      <c r="J153" s="15" t="s">
        <v>18</v>
      </c>
      <c r="K153" s="17" t="s">
        <v>18</v>
      </c>
      <c r="L153" s="13">
        <v>100</v>
      </c>
      <c r="M153" s="15">
        <v>103</v>
      </c>
      <c r="N153" s="17">
        <f>yield(+WORKDAY(TODAY(),1,0),G153,E153,M153,100,2,1)</f>
      </c>
    </row>
    <row r="154" spans="1:14">
      <c r="A154" s="4" t="s">
        <v>213</v>
      </c>
      <c r="B154" s="4" t="s">
        <v>214</v>
      </c>
      <c r="C154" s="4" t="s">
        <v>81</v>
      </c>
      <c r="D154" s="6">
        <v>1000.0</v>
      </c>
      <c r="E154" s="8">
        <v>0.17</v>
      </c>
      <c r="F154" s="10" t="s">
        <v>215</v>
      </c>
      <c r="G154" s="10" t="s">
        <v>216</v>
      </c>
      <c r="H154" s="6">
        <v>96.95999999999999</v>
      </c>
      <c r="I154" s="12">
        <v>3070</v>
      </c>
      <c r="J154" s="14">
        <v>93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217</v>
      </c>
      <c r="B155" s="5" t="s">
        <v>218</v>
      </c>
      <c r="C155" s="5" t="s">
        <v>81</v>
      </c>
      <c r="D155" s="7">
        <v>1000.0</v>
      </c>
      <c r="E155" s="9">
        <v>0.1675</v>
      </c>
      <c r="F155" s="11" t="s">
        <v>219</v>
      </c>
      <c r="G155" s="11" t="s">
        <v>172</v>
      </c>
      <c r="H155" s="7">
        <v>99.0</v>
      </c>
      <c r="I155" s="13">
        <v>784365</v>
      </c>
      <c r="J155" s="15">
        <v>95.248</v>
      </c>
      <c r="K155" s="17">
        <f>yield(+WORKDAY(TODAY(),1,0),G155,E155,J155,100,2,1)</f>
      </c>
      <c r="L155" s="13">
        <v>8570</v>
      </c>
      <c r="M155" s="15">
        <v>99</v>
      </c>
      <c r="N155" s="17">
        <f>yield(+WORKDAY(TODAY(),1,0),G155,E155,M155,100,2,1)</f>
      </c>
    </row>
    <row r="156" spans="1:14">
      <c r="A156" s="4" t="s">
        <v>217</v>
      </c>
      <c r="B156" s="4" t="s">
        <v>218</v>
      </c>
      <c r="C156" s="4" t="s">
        <v>81</v>
      </c>
      <c r="D156" s="6">
        <v>1000.0</v>
      </c>
      <c r="E156" s="8">
        <v>0.1675</v>
      </c>
      <c r="F156" s="10" t="s">
        <v>219</v>
      </c>
      <c r="G156" s="10" t="s">
        <v>172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716</v>
      </c>
      <c r="M156" s="14">
        <v>99.5</v>
      </c>
      <c r="N156" s="16">
        <f>yield(+WORKDAY(TODAY(),1,0),G156,E156,M156,100,2,1)</f>
      </c>
    </row>
    <row r="157" spans="1:14">
      <c r="A157" s="5" t="s">
        <v>217</v>
      </c>
      <c r="B157" s="5" t="s">
        <v>218</v>
      </c>
      <c r="C157" s="5" t="s">
        <v>81</v>
      </c>
      <c r="D157" s="7">
        <v>1000.0</v>
      </c>
      <c r="E157" s="9">
        <v>0.1675</v>
      </c>
      <c r="F157" s="11" t="s">
        <v>219</v>
      </c>
      <c r="G157" s="11" t="s">
        <v>172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3000</v>
      </c>
      <c r="M157" s="15">
        <v>99.77</v>
      </c>
      <c r="N157" s="17">
        <f>yield(+WORKDAY(TODAY(),1,0),G157,E157,M157,100,2,1)</f>
      </c>
    </row>
    <row r="158" spans="1:14">
      <c r="A158" s="4" t="s">
        <v>217</v>
      </c>
      <c r="B158" s="4" t="s">
        <v>218</v>
      </c>
      <c r="C158" s="4" t="s">
        <v>81</v>
      </c>
      <c r="D158" s="6">
        <v>1000.0</v>
      </c>
      <c r="E158" s="8">
        <v>0.1675</v>
      </c>
      <c r="F158" s="10" t="s">
        <v>219</v>
      </c>
      <c r="G158" s="10" t="s">
        <v>172</v>
      </c>
      <c r="H158" s="6">
        <v>99.0</v>
      </c>
      <c r="I158" s="12" t="s">
        <v>18</v>
      </c>
      <c r="J158" s="14" t="s">
        <v>18</v>
      </c>
      <c r="K158" s="16" t="s">
        <v>18</v>
      </c>
      <c r="L158" s="12">
        <v>757005</v>
      </c>
      <c r="M158" s="14">
        <v>99.77500000000001</v>
      </c>
      <c r="N158" s="16">
        <f>yield(+WORKDAY(TODAY(),1,0),G158,E158,M158,100,2,1)</f>
      </c>
    </row>
    <row r="159" spans="1:14">
      <c r="A159" s="5" t="s">
        <v>220</v>
      </c>
      <c r="B159" s="5" t="s">
        <v>221</v>
      </c>
      <c r="C159" s="5" t="s">
        <v>81</v>
      </c>
      <c r="D159" s="7">
        <v>1000.0</v>
      </c>
      <c r="E159" s="9">
        <v>0.1675</v>
      </c>
      <c r="F159" s="11" t="s">
        <v>219</v>
      </c>
      <c r="G159" s="11" t="s">
        <v>222</v>
      </c>
      <c r="H159" s="7">
        <v>98.067999999999998</v>
      </c>
      <c r="I159" s="13">
        <v>359000</v>
      </c>
      <c r="J159" s="15">
        <v>98</v>
      </c>
      <c r="K159" s="17">
        <f>yield(+WORKDAY(TODAY(),1,0),G159,E159,J159,100,2,1)</f>
      </c>
      <c r="L159" s="13">
        <v>870604</v>
      </c>
      <c r="M159" s="15">
        <v>98.067999999999998</v>
      </c>
      <c r="N159" s="17">
        <f>yield(+WORKDAY(TODAY(),1,0),G159,E159,M159,100,2,1)</f>
      </c>
    </row>
    <row r="160" spans="1:14">
      <c r="A160" s="4" t="s">
        <v>223</v>
      </c>
      <c r="B160" s="4" t="s">
        <v>224</v>
      </c>
      <c r="C160" s="4" t="s">
        <v>81</v>
      </c>
      <c r="D160" s="6">
        <v>1000.0</v>
      </c>
      <c r="E160" s="8">
        <v>0.1725</v>
      </c>
      <c r="F160" s="10" t="s">
        <v>225</v>
      </c>
      <c r="G160" s="10" t="s">
        <v>226</v>
      </c>
      <c r="H160" s="6">
        <v>98.0</v>
      </c>
      <c r="I160" s="12">
        <v>5295</v>
      </c>
      <c r="J160" s="14">
        <v>96.8</v>
      </c>
      <c r="K160" s="16">
        <f>yield(+WORKDAY(TODAY(),1,0),G160,E160,J160,100,2,1)</f>
      </c>
      <c r="L160" s="12">
        <v>3467</v>
      </c>
      <c r="M160" s="14">
        <v>98</v>
      </c>
      <c r="N160" s="16">
        <f>yield(+WORKDAY(TODAY(),1,0),G160,E160,M160,100,2,1)</f>
      </c>
    </row>
    <row r="161" spans="1:14">
      <c r="A161" s="5" t="s">
        <v>223</v>
      </c>
      <c r="B161" s="5" t="s">
        <v>224</v>
      </c>
      <c r="C161" s="5" t="s">
        <v>81</v>
      </c>
      <c r="D161" s="7">
        <v>1000.0</v>
      </c>
      <c r="E161" s="9">
        <v>0.1725</v>
      </c>
      <c r="F161" s="11" t="s">
        <v>225</v>
      </c>
      <c r="G161" s="11" t="s">
        <v>226</v>
      </c>
      <c r="H161" s="7">
        <v>98.0</v>
      </c>
      <c r="I161" s="13">
        <v>6500</v>
      </c>
      <c r="J161" s="15">
        <v>93</v>
      </c>
      <c r="K161" s="17">
        <f>yield(+WORKDAY(TODAY(),1,0),G161,E161,J161,100,2,1)</f>
      </c>
      <c r="L161" s="13">
        <v>2000</v>
      </c>
      <c r="M161" s="15">
        <v>100</v>
      </c>
      <c r="N161" s="17">
        <f>yield(+WORKDAY(TODAY(),1,0),G161,E161,M161,100,2,1)</f>
      </c>
    </row>
    <row r="162" spans="1:14">
      <c r="A162" s="4" t="s">
        <v>227</v>
      </c>
      <c r="B162" s="4" t="s">
        <v>228</v>
      </c>
      <c r="C162" s="4" t="s">
        <v>81</v>
      </c>
      <c r="D162" s="6">
        <v>1000.0</v>
      </c>
      <c r="E162" s="8">
        <v>0.1725</v>
      </c>
      <c r="F162" s="10" t="s">
        <v>229</v>
      </c>
      <c r="G162" s="10" t="s">
        <v>230</v>
      </c>
      <c r="H162" s="6">
        <v>95.0</v>
      </c>
      <c r="I162" s="12">
        <v>1500</v>
      </c>
      <c r="J162" s="14">
        <v>91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231</v>
      </c>
      <c r="B163" s="5" t="s">
        <v>232</v>
      </c>
      <c r="C163" s="5" t="s">
        <v>81</v>
      </c>
      <c r="D163" s="7">
        <v>1000.0</v>
      </c>
      <c r="E163" s="9">
        <v>0.1725</v>
      </c>
      <c r="F163" s="11" t="s">
        <v>233</v>
      </c>
      <c r="G163" s="11" t="s">
        <v>234</v>
      </c>
      <c r="H163" s="7">
        <v>105.0</v>
      </c>
      <c r="I163" s="13">
        <v>5000</v>
      </c>
      <c r="J163" s="15">
        <v>96.5</v>
      </c>
      <c r="K163" s="17">
        <f>yield(+WORKDAY(TODAY(),1,0),G163,E163,J163,100,2,1)</f>
      </c>
      <c r="L163" s="13">
        <v>17000</v>
      </c>
      <c r="M163" s="15">
        <v>100</v>
      </c>
      <c r="N163" s="17">
        <f>yield(+WORKDAY(TODAY(),1,0),G163,E163,M163,100,2,1)</f>
      </c>
    </row>
    <row r="164" spans="1:14">
      <c r="A164" s="4" t="s">
        <v>235</v>
      </c>
      <c r="B164" s="4" t="s">
        <v>236</v>
      </c>
      <c r="C164" s="4" t="s">
        <v>81</v>
      </c>
      <c r="D164" s="6">
        <v>1000.0</v>
      </c>
      <c r="E164" s="8">
        <v>0.1725</v>
      </c>
      <c r="F164" s="10" t="s">
        <v>237</v>
      </c>
      <c r="G164" s="10" t="s">
        <v>238</v>
      </c>
      <c r="H164" s="6">
        <v>98.5</v>
      </c>
      <c r="I164" s="12">
        <v>6000</v>
      </c>
      <c r="J164" s="14">
        <v>93.95</v>
      </c>
      <c r="K164" s="16">
        <f>yield(+WORKDAY(TODAY(),1,0),G164,E164,J164,100,2,1)</f>
      </c>
      <c r="L164" s="12">
        <v>8144</v>
      </c>
      <c r="M164" s="14">
        <v>98.5</v>
      </c>
      <c r="N164" s="16">
        <f>yield(+WORKDAY(TODAY(),1,0),G164,E164,M164,100,2,1)</f>
      </c>
    </row>
    <row r="165" spans="1:14">
      <c r="A165" s="5" t="s">
        <v>235</v>
      </c>
      <c r="B165" s="5" t="s">
        <v>236</v>
      </c>
      <c r="C165" s="5" t="s">
        <v>81</v>
      </c>
      <c r="D165" s="7">
        <v>1000.0</v>
      </c>
      <c r="E165" s="9">
        <v>0.1725</v>
      </c>
      <c r="F165" s="11" t="s">
        <v>237</v>
      </c>
      <c r="G165" s="11" t="s">
        <v>238</v>
      </c>
      <c r="H165" s="7">
        <v>98.5</v>
      </c>
      <c r="I165" s="13">
        <v>3070</v>
      </c>
      <c r="J165" s="15">
        <v>93</v>
      </c>
      <c r="K165" s="17">
        <f>yield(+WORKDAY(TODAY(),1,0),G165,E165,J165,100,2,1)</f>
      </c>
      <c r="L165" s="13">
        <v>4000000</v>
      </c>
      <c r="M165" s="15">
        <v>100.20999999999999</v>
      </c>
      <c r="N165" s="17">
        <f>yield(+WORKDAY(TODAY(),1,0),G165,E165,M165,100,2,1)</f>
      </c>
    </row>
    <row r="166" spans="1:14">
      <c r="A166" s="4" t="s">
        <v>239</v>
      </c>
      <c r="B166" s="4" t="s">
        <v>240</v>
      </c>
      <c r="C166" s="4" t="s">
        <v>81</v>
      </c>
      <c r="D166" s="6">
        <v>1000.0</v>
      </c>
      <c r="E166" s="8">
        <v>0.1675</v>
      </c>
      <c r="F166" s="10" t="s">
        <v>77</v>
      </c>
      <c r="G166" s="10" t="s">
        <v>241</v>
      </c>
      <c r="H166" s="6">
        <v>101.27800000000001</v>
      </c>
      <c r="I166" s="12" t="s">
        <v>18</v>
      </c>
      <c r="J166" s="14" t="s">
        <v>18</v>
      </c>
      <c r="K166" s="16" t="s">
        <v>18</v>
      </c>
      <c r="L166" s="12">
        <v>1999461</v>
      </c>
      <c r="M166" s="14">
        <v>101.768</v>
      </c>
      <c r="N166" s="16">
        <f>yield(+WORKDAY(TODAY(),1,0),G166,E166,M166,100,2,1)</f>
      </c>
    </row>
    <row r="167" spans="1:14">
      <c r="A167" s="5" t="s">
        <v>242</v>
      </c>
      <c r="B167" s="5" t="s">
        <v>243</v>
      </c>
      <c r="C167" s="5" t="s">
        <v>81</v>
      </c>
      <c r="D167" s="7">
        <v>1000.0</v>
      </c>
      <c r="E167" s="9">
        <v>0.1725</v>
      </c>
      <c r="F167" s="11" t="s">
        <v>219</v>
      </c>
      <c r="G167" s="11" t="s">
        <v>244</v>
      </c>
      <c r="H167" s="7">
        <v>91.5</v>
      </c>
      <c r="I167" s="13" t="s">
        <v>18</v>
      </c>
      <c r="J167" s="15" t="s">
        <v>18</v>
      </c>
      <c r="K167" s="17" t="s">
        <v>18</v>
      </c>
      <c r="L167" s="13">
        <v>3000000</v>
      </c>
      <c r="M167" s="15">
        <v>100.079999999999998</v>
      </c>
      <c r="N167" s="17">
        <f>yield(+WORKDAY(TODAY(),1,0),G167,E167,M167,100,2,1)</f>
      </c>
    </row>
    <row r="168" spans="1:14">
      <c r="A168" s="4" t="s">
        <v>245</v>
      </c>
      <c r="B168" s="4" t="s">
        <v>246</v>
      </c>
      <c r="C168" s="4" t="s">
        <v>81</v>
      </c>
      <c r="D168" s="6">
        <v>1000.0</v>
      </c>
      <c r="E168" s="8">
        <v>0.1675</v>
      </c>
      <c r="F168" s="10" t="s">
        <v>247</v>
      </c>
      <c r="G168" s="10" t="s">
        <v>248</v>
      </c>
      <c r="H168" s="6">
        <v>97.15000000000001</v>
      </c>
      <c r="I168" s="12">
        <v>49521</v>
      </c>
      <c r="J168" s="14">
        <v>97.15000000000001</v>
      </c>
      <c r="K168" s="16">
        <f>yield(+WORKDAY(TODAY(),1,0),G168,E168,J168,100,2,1)</f>
      </c>
      <c r="L168" s="12">
        <v>31000</v>
      </c>
      <c r="M168" s="14">
        <v>97.5</v>
      </c>
      <c r="N168" s="16">
        <f>yield(+WORKDAY(TODAY(),1,0),G168,E168,M168,100,2,1)</f>
      </c>
    </row>
    <row r="169" spans="1:14">
      <c r="A169" s="5" t="s">
        <v>245</v>
      </c>
      <c r="B169" s="5" t="s">
        <v>246</v>
      </c>
      <c r="C169" s="5" t="s">
        <v>81</v>
      </c>
      <c r="D169" s="7">
        <v>1000.0</v>
      </c>
      <c r="E169" s="9">
        <v>0.1675</v>
      </c>
      <c r="F169" s="11" t="s">
        <v>247</v>
      </c>
      <c r="G169" s="11" t="s">
        <v>248</v>
      </c>
      <c r="H169" s="7">
        <v>97.15000000000001</v>
      </c>
      <c r="I169" s="13">
        <v>735834</v>
      </c>
      <c r="J169" s="15">
        <v>95.691</v>
      </c>
      <c r="K169" s="17">
        <f>yield(+WORKDAY(TODAY(),1,0),G169,E169,J169,100,2,1)</f>
      </c>
      <c r="L169" s="13">
        <v>735834</v>
      </c>
      <c r="M169" s="15">
        <v>98</v>
      </c>
      <c r="N169" s="17">
        <f>yield(+WORKDAY(TODAY(),1,0),G169,E169,M169,100,2,1)</f>
      </c>
    </row>
    <row r="170" spans="1:14">
      <c r="A170" s="4" t="s">
        <v>245</v>
      </c>
      <c r="B170" s="4" t="s">
        <v>246</v>
      </c>
      <c r="C170" s="4" t="s">
        <v>81</v>
      </c>
      <c r="D170" s="6">
        <v>1000.0</v>
      </c>
      <c r="E170" s="8">
        <v>0.1675</v>
      </c>
      <c r="F170" s="10" t="s">
        <v>247</v>
      </c>
      <c r="G170" s="10" t="s">
        <v>248</v>
      </c>
      <c r="H170" s="6">
        <v>97.15000000000001</v>
      </c>
      <c r="I170" s="12">
        <v>146</v>
      </c>
      <c r="J170" s="14">
        <v>95.5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245</v>
      </c>
      <c r="B171" s="5" t="s">
        <v>246</v>
      </c>
      <c r="C171" s="5" t="s">
        <v>81</v>
      </c>
      <c r="D171" s="7">
        <v>1000.0</v>
      </c>
      <c r="E171" s="9">
        <v>0.1675</v>
      </c>
      <c r="F171" s="11" t="s">
        <v>247</v>
      </c>
      <c r="G171" s="11" t="s">
        <v>248</v>
      </c>
      <c r="H171" s="7">
        <v>97.15000000000001</v>
      </c>
      <c r="I171" s="13">
        <v>100</v>
      </c>
      <c r="J171" s="15">
        <v>94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249</v>
      </c>
      <c r="B172" s="4" t="s">
        <v>250</v>
      </c>
      <c r="C172" s="4" t="s">
        <v>81</v>
      </c>
      <c r="D172" s="6">
        <v>1000.0</v>
      </c>
      <c r="E172" s="8">
        <v>0.1725</v>
      </c>
      <c r="F172" s="10" t="s">
        <v>219</v>
      </c>
      <c r="G172" s="10" t="s">
        <v>244</v>
      </c>
      <c r="H172" s="6">
        <v>97.0</v>
      </c>
      <c r="I172" s="12">
        <v>46698</v>
      </c>
      <c r="J172" s="14">
        <v>96.75</v>
      </c>
      <c r="K172" s="16">
        <f>yield(+WORKDAY(TODAY(),1,0),G172,E172,J172,100,2,1)</f>
      </c>
      <c r="L172" s="12">
        <v>7961</v>
      </c>
      <c r="M172" s="14">
        <v>97.48999999999999</v>
      </c>
      <c r="N172" s="16">
        <f>yield(+WORKDAY(TODAY(),1,0),G172,E172,M172,100,2,1)</f>
      </c>
    </row>
    <row r="173" spans="1:14">
      <c r="A173" s="5" t="s">
        <v>249</v>
      </c>
      <c r="B173" s="5" t="s">
        <v>250</v>
      </c>
      <c r="C173" s="5" t="s">
        <v>81</v>
      </c>
      <c r="D173" s="7">
        <v>1000.0</v>
      </c>
      <c r="E173" s="9">
        <v>0.1725</v>
      </c>
      <c r="F173" s="11" t="s">
        <v>219</v>
      </c>
      <c r="G173" s="11" t="s">
        <v>244</v>
      </c>
      <c r="H173" s="7">
        <v>97.0</v>
      </c>
      <c r="I173" s="13">
        <v>10000</v>
      </c>
      <c r="J173" s="15">
        <v>94.494</v>
      </c>
      <c r="K173" s="17">
        <f>yield(+WORKDAY(TODAY(),1,0),G173,E173,J173,100,2,1)</f>
      </c>
      <c r="L173" s="13">
        <v>29900</v>
      </c>
      <c r="M173" s="15">
        <v>99</v>
      </c>
      <c r="N173" s="17">
        <f>yield(+WORKDAY(TODAY(),1,0),G173,E173,M173,100,2,1)</f>
      </c>
    </row>
    <row r="174" spans="1:14">
      <c r="A174" s="4" t="s">
        <v>249</v>
      </c>
      <c r="B174" s="4" t="s">
        <v>250</v>
      </c>
      <c r="C174" s="4" t="s">
        <v>81</v>
      </c>
      <c r="D174" s="6">
        <v>1000.0</v>
      </c>
      <c r="E174" s="8">
        <v>0.1725</v>
      </c>
      <c r="F174" s="10" t="s">
        <v>219</v>
      </c>
      <c r="G174" s="10" t="s">
        <v>244</v>
      </c>
      <c r="H174" s="6">
        <v>97.0</v>
      </c>
      <c r="I174" s="12" t="s">
        <v>18</v>
      </c>
      <c r="J174" s="14" t="s">
        <v>18</v>
      </c>
      <c r="K174" s="16" t="s">
        <v>18</v>
      </c>
      <c r="L174" s="12">
        <v>3000000</v>
      </c>
      <c r="M174" s="14">
        <v>100.079999999999998</v>
      </c>
      <c r="N174" s="16">
        <f>yield(+WORKDAY(TODAY(),1,0),G174,E174,M174,100,2,1)</f>
      </c>
    </row>
    <row r="175" spans="1:14">
      <c r="A175" s="5" t="s">
        <v>251</v>
      </c>
      <c r="B175" s="5" t="s">
        <v>252</v>
      </c>
      <c r="C175" s="5" t="s">
        <v>81</v>
      </c>
      <c r="D175" s="7">
        <v>1000.0</v>
      </c>
      <c r="E175" s="9">
        <v>0.1675</v>
      </c>
      <c r="F175" s="11" t="s">
        <v>253</v>
      </c>
      <c r="G175" s="11" t="s">
        <v>254</v>
      </c>
      <c r="H175" s="7">
        <v>95.5</v>
      </c>
      <c r="I175" s="13" t="s">
        <v>18</v>
      </c>
      <c r="J175" s="15" t="s">
        <v>18</v>
      </c>
      <c r="K175" s="17" t="s">
        <v>18</v>
      </c>
      <c r="L175" s="13">
        <v>3000000</v>
      </c>
      <c r="M175" s="15">
        <v>100.3</v>
      </c>
      <c r="N175" s="17">
        <f>yield(+WORKDAY(TODAY(),1,0),G175,E175,M175,100,2,1)</f>
      </c>
    </row>
    <row r="176" spans="1:14">
      <c r="A176" s="4" t="s">
        <v>255</v>
      </c>
      <c r="B176" s="4" t="s">
        <v>256</v>
      </c>
      <c r="C176" s="4" t="s">
        <v>81</v>
      </c>
      <c r="D176" s="6">
        <v>1000.0</v>
      </c>
      <c r="E176" s="8">
        <v>0.1725</v>
      </c>
      <c r="F176" s="10" t="s">
        <v>257</v>
      </c>
      <c r="G176" s="10" t="s">
        <v>54</v>
      </c>
      <c r="H176" s="6">
        <v>94.0</v>
      </c>
      <c r="I176" s="12">
        <v>1023636</v>
      </c>
      <c r="J176" s="14">
        <v>94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 customHeight="1" ht="80">
      <c r="A17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7:N1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2026-04-25T17:35:24+01:00</dcterms:created>
  <dcterms:modified xsi:type="dcterms:W3CDTF">2026-04-25T17:35:24+01:00</dcterms:modified>
  <dc:title>Untitled Spreadsheet</dc:title>
  <dc:description/>
  <dc:subject/>
  <cp:keywords/>
  <cp:category/>
</cp:coreProperties>
</file>