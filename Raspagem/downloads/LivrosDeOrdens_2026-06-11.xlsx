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<sst xmlns="http://schemas.openxmlformats.org/spreadsheetml/2006/main" uniqueCount="236">
  <si>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Livro de Ordens - 11/06/2026 10:20:13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</si>
  <si>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</si>
  <si>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</si>
  <si>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</si>
  <si>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</si>
  <si>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</si>
  <si>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</si>
  <si>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</si>
  <si>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</si>
  <si>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</si>
  <si>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</si>
  <si>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</si>
  <si>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</si>
  <si>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</si>
  <si>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</si>
  <si>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</si>
  <si>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</si>
  <si>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</si>
  <si>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</si>
  <si>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</si>
  <si>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</si>
  <si>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</si>
  <si>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</si>
  <si>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</si>
  <si>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</si>
  <si>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</si>
  <si>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</si>
  <si>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</si>
  <si>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</si>
  <si>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</si>
  <si>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</si>
  <si>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</si>
  <si>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</si>
  <si>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</si>
  <si>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</si>
  <si>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</si>
  <si>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</si>
  <si>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</si>
  <si>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</si>
  <si>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</si>
  <si>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</si>
  <si>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</si>
  <si>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</si>
  <si>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</si>
  <si>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</si>
  <si>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</si>
  <si>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</si>
  <si>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</si>
  <si>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</si>
  <si>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</si>
  <si>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</si>
  <si>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</si>
  <si>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</si>
  <si>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</si>
  <si>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</si>
  <si>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</si>
  <si>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</si>
  <si>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</si>
  <si>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</si>
  <si>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</si>
  <si>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</si>
  <si>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</si>
  <si>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</si>
  <si>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</si>
  <si>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</si>
  <si>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</si>
  <si>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</si>
  <si>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</si>
  <si>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</si>
  <si>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</si>
  <si>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</si>
  <si>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</si>
  <si>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</si>
  <si>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</si>
  <si>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</si>
  <si>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</si>
  <si>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</si>
  <si>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</si>
  <si>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</si>
  <si>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</si>
  <si>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</si>
  <si>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</si>
  <si>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</si>
  <si>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</si>
  <si>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</si>
  <si>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</si>
  <si>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</si>
  <si>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</si>
  <si>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</si>
  <si>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</si>
  <si>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</si>
  <si>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</si>
  <si>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</si>
  <si>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</si>
  <si>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</si>
  <si>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</si>
  <si>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</si>
  <si>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</si>
  <si>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</si>
  <si>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</si>
  <si>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</si>
  <si>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</si>
  <si>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</si>
  <si>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</si>
  <si>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</si>
  <si>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</si>
  <si>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</si>
  <si>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</si>
  <si>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</si>
  <si>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</si>
  <si>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</si>
  <si>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</si>
  <si>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</si>
  <si>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</si>
  <si>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</si>
  <si>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</si>
  <si>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</si>
  <si>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</si>
  <si>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</si>
  <si>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</si>
  <si>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</si>
  <si>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</si>
  <si>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</si>
  <si>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</si>
  <si>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</si>
  <si>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</si>
  <si>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</si>
  <si>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</si>
  <si>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</si>
  <si>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</si>
  <si>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</si>
  <si>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</si>
  <si>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</si>
  <si>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</si>
  <si>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</si>
  <si>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</si>
  <si>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</si>
  <si>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</si>
  <si>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</si>
  <si>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</si>
  <si>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</si>
  <si>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</si>
  <si>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</si>
  <si>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</si>
  <si>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</si>
  <si>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</si>
  <si>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</si>
  <si>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</si>
  <si>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</si>
  <si>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</si>
  <si>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</si>
  <si>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</si>
  <si>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</si>
  <si>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</si>
  <si>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</si>
  <si>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</si>
  <si>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</si>
  <si>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</si>
  <si>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</si>
  <si>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</si>
  <si>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</si>
  <si>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</si>
  <si>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</si>
  <si>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</si>
  <si>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</si>
  <si>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</si>
  <si>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</si>
  <si>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</si>
  <si>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</si>
  <si>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</si>
  <si>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</si>
  <si>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</si>
  <si>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</si>
  <si>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</si>
  <si>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</si>
  <si>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</si>
  <si>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</si>
  <si>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</si>
  <si>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2024-03-15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</si>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</sst>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2"/>
  <sheetViews>
    <sheetView tabSelected="1" workbookViewId="0" showGridLines="true" showRowColHeaders="1">
      <selection activeCell="A1" sqref="A1:N21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75005.10000000000582</v>
      </c>
      <c r="I4" s="12">
        <v>20</v>
      </c>
      <c r="J4" s="14">
        <v>76001</v>
      </c>
      <c r="K4" s="16">
        <f>(D4/H4)</f>
        <v>0.034786434522452</v>
      </c>
      <c r="L4" s="12">
        <v>1</v>
      </c>
      <c r="M4" s="14">
        <v>78500</v>
      </c>
      <c r="N4" s="16">
        <f>(D4/H4)</f>
        <v>0.034786434522452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75005.10000000000582</v>
      </c>
      <c r="I5" s="13">
        <v>2</v>
      </c>
      <c r="J5" s="15">
        <v>76000</v>
      </c>
      <c r="K5" s="17">
        <f>(D5/H5)</f>
        <v>0.034786434522452</v>
      </c>
      <c r="L5" s="13">
        <v>1</v>
      </c>
      <c r="M5" s="15">
        <v>79000</v>
      </c>
      <c r="N5" s="17">
        <f>(D5/H5)</f>
        <v>0.034786434522452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75005.10000000000582</v>
      </c>
      <c r="I6" s="12">
        <v>5</v>
      </c>
      <c r="J6" s="14">
        <v>75050</v>
      </c>
      <c r="K6" s="16">
        <f>(D6/H6)</f>
        <v>0.034786434522452</v>
      </c>
      <c r="L6" s="12">
        <v>20</v>
      </c>
      <c r="M6" s="14">
        <v>79950</v>
      </c>
      <c r="N6" s="16">
        <f>(D6/H6)</f>
        <v>0.034786434522452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75005.10000000000582</v>
      </c>
      <c r="I7" s="13">
        <v>2</v>
      </c>
      <c r="J7" s="15">
        <v>75015</v>
      </c>
      <c r="K7" s="17">
        <f>(D7/H7)</f>
        <v>0.034786434522452</v>
      </c>
      <c r="L7" s="13">
        <v>86</v>
      </c>
      <c r="M7" s="15">
        <v>80000</v>
      </c>
      <c r="N7" s="17">
        <f>(D7/H7)</f>
        <v>0.034786434522452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75005.10000000000582</v>
      </c>
      <c r="I8" s="12">
        <v>19</v>
      </c>
      <c r="J8" s="14">
        <v>75011</v>
      </c>
      <c r="K8" s="16">
        <f>(D8/H8)</f>
        <v>0.034786434522452</v>
      </c>
      <c r="L8" s="12">
        <v>300</v>
      </c>
      <c r="M8" s="14">
        <v>88000</v>
      </c>
      <c r="N8" s="16">
        <f>(D8/H8)</f>
        <v>0.034786434522452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75005.10000000000582</v>
      </c>
      <c r="I9" s="13">
        <v>2</v>
      </c>
      <c r="J9" s="15">
        <v>75010</v>
      </c>
      <c r="K9" s="17">
        <f>(D9/H9)</f>
        <v>0.034786434522452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75005.10000000000582</v>
      </c>
      <c r="I10" s="12">
        <v>53</v>
      </c>
      <c r="J10" s="14">
        <v>75005.10000000000582</v>
      </c>
      <c r="K10" s="16">
        <f>(D10/H10)</f>
        <v>0.034786434522452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75005.10000000000582</v>
      </c>
      <c r="I11" s="13">
        <v>61</v>
      </c>
      <c r="J11" s="15">
        <v>75000</v>
      </c>
      <c r="K11" s="17">
        <f>(D11/H11)</f>
        <v>0.034786434522452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75005.10000000000582</v>
      </c>
      <c r="I12" s="12">
        <v>25</v>
      </c>
      <c r="J12" s="14">
        <v>74000</v>
      </c>
      <c r="K12" s="16">
        <f>(D12/H12)</f>
        <v>0.034786434522452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75005.10000000000582</v>
      </c>
      <c r="I13" s="13">
        <v>2</v>
      </c>
      <c r="J13" s="15">
        <v>73000</v>
      </c>
      <c r="K13" s="17">
        <f>(D13/H13)</f>
        <v>0.034786434522452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75005.10000000000582</v>
      </c>
      <c r="I14" s="12">
        <v>56</v>
      </c>
      <c r="J14" s="14">
        <v>70000</v>
      </c>
      <c r="K14" s="16">
        <f>(D14/H14)</f>
        <v>0.034786434522452</v>
      </c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2609.15999999999985</v>
      </c>
      <c r="E15" s="9" t="s">
        <v>17</v>
      </c>
      <c r="F15" s="11"/>
      <c r="G15" s="11" t="s">
        <v>17</v>
      </c>
      <c r="H15" s="7">
        <v>75005.10000000000582</v>
      </c>
      <c r="I15" s="13">
        <v>9</v>
      </c>
      <c r="J15" s="15">
        <v>69950</v>
      </c>
      <c r="K15" s="17">
        <f>(D15/H15)</f>
        <v>0.034786434522452</v>
      </c>
      <c r="L15" s="13" t="s">
        <v>18</v>
      </c>
      <c r="M15" s="15" t="s">
        <v>18</v>
      </c>
      <c r="N15" s="17" t="s">
        <v>18</v>
      </c>
    </row>
    <row r="16" spans="1:14">
      <c r="A16" s="4" t="s">
        <v>14</v>
      </c>
      <c r="B16" s="4" t="s">
        <v>15</v>
      </c>
      <c r="C16" s="4" t="s">
        <v>16</v>
      </c>
      <c r="D16" s="6">
        <v>2609.15999999999985</v>
      </c>
      <c r="E16" s="8" t="s">
        <v>17</v>
      </c>
      <c r="F16" s="10"/>
      <c r="G16" s="10" t="s">
        <v>17</v>
      </c>
      <c r="H16" s="6">
        <v>75005.10000000000582</v>
      </c>
      <c r="I16" s="12">
        <v>1</v>
      </c>
      <c r="J16" s="14">
        <v>60500</v>
      </c>
      <c r="K16" s="16">
        <f>(D16/H16)</f>
        <v>0.034786434522452</v>
      </c>
      <c r="L16" s="12" t="s">
        <v>18</v>
      </c>
      <c r="M16" s="14" t="s">
        <v>18</v>
      </c>
      <c r="N16" s="16" t="s">
        <v>18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>
        <v>4</v>
      </c>
      <c r="J17" s="15">
        <v>104850</v>
      </c>
      <c r="K17" s="17">
        <f>(D17/H17)</f>
        <v>0.072391333333333</v>
      </c>
      <c r="L17" s="13">
        <v>340</v>
      </c>
      <c r="M17" s="15">
        <v>105000</v>
      </c>
      <c r="N17" s="17">
        <f>(D17/H17)</f>
        <v>0.072391333333333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>
        <v>30</v>
      </c>
      <c r="J18" s="14">
        <v>104500</v>
      </c>
      <c r="K18" s="16">
        <f>(D18/H18)</f>
        <v>0.072391333333333</v>
      </c>
      <c r="L18" s="12">
        <v>1</v>
      </c>
      <c r="M18" s="14">
        <v>106000</v>
      </c>
      <c r="N18" s="16">
        <f>(D18/H18)</f>
        <v>0.072391333333333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105000.0</v>
      </c>
      <c r="I19" s="13">
        <v>55</v>
      </c>
      <c r="J19" s="15">
        <v>104000</v>
      </c>
      <c r="K19" s="17">
        <f>(D19/H19)</f>
        <v>0.072391333333333</v>
      </c>
      <c r="L19" s="13">
        <v>58</v>
      </c>
      <c r="M19" s="15">
        <v>107000</v>
      </c>
      <c r="N19" s="17">
        <f>(D19/H19)</f>
        <v>0.072391333333333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105000.0</v>
      </c>
      <c r="I20" s="12">
        <v>2</v>
      </c>
      <c r="J20" s="14">
        <v>103000</v>
      </c>
      <c r="K20" s="16">
        <f>(D20/H20)</f>
        <v>0.072391333333333</v>
      </c>
      <c r="L20" s="12">
        <v>431</v>
      </c>
      <c r="M20" s="14">
        <v>108000</v>
      </c>
      <c r="N20" s="16">
        <f>(D20/H20)</f>
        <v>0.072391333333333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105000.0</v>
      </c>
      <c r="I21" s="13">
        <v>120</v>
      </c>
      <c r="J21" s="15">
        <v>101115</v>
      </c>
      <c r="K21" s="17">
        <f>(D21/H21)</f>
        <v>0.072391333333333</v>
      </c>
      <c r="L21" s="13">
        <v>61</v>
      </c>
      <c r="M21" s="15">
        <v>108500</v>
      </c>
      <c r="N21" s="17">
        <f>(D21/H21)</f>
        <v>0.072391333333333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105000.0</v>
      </c>
      <c r="I22" s="12">
        <v>57</v>
      </c>
      <c r="J22" s="14">
        <v>100000</v>
      </c>
      <c r="K22" s="16">
        <f>(D22/H22)</f>
        <v>0.072391333333333</v>
      </c>
      <c r="L22" s="12">
        <v>158</v>
      </c>
      <c r="M22" s="14">
        <v>108900</v>
      </c>
      <c r="N22" s="16">
        <f>(D22/H22)</f>
        <v>0.072391333333333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105000.0</v>
      </c>
      <c r="I23" s="13">
        <v>2</v>
      </c>
      <c r="J23" s="15">
        <v>98499</v>
      </c>
      <c r="K23" s="17">
        <f>(D23/H23)</f>
        <v>0.072391333333333</v>
      </c>
      <c r="L23" s="13">
        <v>65</v>
      </c>
      <c r="M23" s="15">
        <v>109000</v>
      </c>
      <c r="N23" s="17">
        <f>(D23/H23)</f>
        <v>0.072391333333333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105000.0</v>
      </c>
      <c r="I24" s="12">
        <v>10</v>
      </c>
      <c r="J24" s="14">
        <v>95000</v>
      </c>
      <c r="K24" s="16">
        <f>(D24/H24)</f>
        <v>0.072391333333333</v>
      </c>
      <c r="L24" s="12">
        <v>3286</v>
      </c>
      <c r="M24" s="14">
        <v>110000</v>
      </c>
      <c r="N24" s="16">
        <f>(D24/H24)</f>
        <v>0.072391333333333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105000.0</v>
      </c>
      <c r="I25" s="13">
        <v>50</v>
      </c>
      <c r="J25" s="15">
        <v>90000</v>
      </c>
      <c r="K25" s="17">
        <f>(D25/H25)</f>
        <v>0.072391333333333</v>
      </c>
      <c r="L25" s="13">
        <v>20</v>
      </c>
      <c r="M25" s="15">
        <v>112000</v>
      </c>
      <c r="N25" s="17">
        <f>(D25/H25)</f>
        <v>0.072391333333333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105000.0</v>
      </c>
      <c r="I26" s="12" t="s">
        <v>18</v>
      </c>
      <c r="J26" s="14" t="s">
        <v>18</v>
      </c>
      <c r="K26" s="16" t="s">
        <v>18</v>
      </c>
      <c r="L26" s="12">
        <v>9</v>
      </c>
      <c r="M26" s="14">
        <v>115000</v>
      </c>
      <c r="N26" s="16">
        <f>(D26/H26)</f>
        <v>0.072391333333333</v>
      </c>
    </row>
    <row r="27" spans="1:14">
      <c r="A27" s="5" t="s">
        <v>19</v>
      </c>
      <c r="B27" s="5" t="s">
        <v>20</v>
      </c>
      <c r="C27" s="5" t="s">
        <v>16</v>
      </c>
      <c r="D27" s="7">
        <v>7601.090000000000146</v>
      </c>
      <c r="E27" s="9" t="s">
        <v>17</v>
      </c>
      <c r="F27" s="11"/>
      <c r="G27" s="11" t="s">
        <v>17</v>
      </c>
      <c r="H27" s="7">
        <v>105000.0</v>
      </c>
      <c r="I27" s="13" t="s">
        <v>18</v>
      </c>
      <c r="J27" s="15" t="s">
        <v>18</v>
      </c>
      <c r="K27" s="17" t="s">
        <v>18</v>
      </c>
      <c r="L27" s="13">
        <v>10</v>
      </c>
      <c r="M27" s="15">
        <v>120000</v>
      </c>
      <c r="N27" s="17">
        <f>(D27/H27)</f>
        <v>0.072391333333333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24500.0</v>
      </c>
      <c r="I28" s="12">
        <v>2</v>
      </c>
      <c r="J28" s="14">
        <v>24290</v>
      </c>
      <c r="K28" s="16">
        <f>(D28/H28)</f>
        <v>0.044143673469388</v>
      </c>
      <c r="L28" s="12">
        <v>116</v>
      </c>
      <c r="M28" s="14">
        <v>24500</v>
      </c>
      <c r="N28" s="16">
        <f>(D28/H28)</f>
        <v>0.044143673469388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24500.0</v>
      </c>
      <c r="I29" s="13">
        <v>2</v>
      </c>
      <c r="J29" s="15">
        <v>23800</v>
      </c>
      <c r="K29" s="17">
        <f>(D29/H29)</f>
        <v>0.044143673469388</v>
      </c>
      <c r="L29" s="13">
        <v>206</v>
      </c>
      <c r="M29" s="15">
        <v>25000</v>
      </c>
      <c r="N29" s="17">
        <f>(D29/H29)</f>
        <v>0.044143673469388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24500.0</v>
      </c>
      <c r="I30" s="12">
        <v>19</v>
      </c>
      <c r="J30" s="14">
        <v>23799</v>
      </c>
      <c r="K30" s="16">
        <f>(D30/H30)</f>
        <v>0.044143673469388</v>
      </c>
      <c r="L30" s="12">
        <v>325</v>
      </c>
      <c r="M30" s="14">
        <v>25100</v>
      </c>
      <c r="N30" s="16">
        <f>(D30/H30)</f>
        <v>0.044143673469388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24500.0</v>
      </c>
      <c r="I31" s="13">
        <v>21</v>
      </c>
      <c r="J31" s="15">
        <v>23500</v>
      </c>
      <c r="K31" s="17">
        <f>(D31/H31)</f>
        <v>0.044143673469388</v>
      </c>
      <c r="L31" s="13">
        <v>1087</v>
      </c>
      <c r="M31" s="15">
        <v>25500</v>
      </c>
      <c r="N31" s="17">
        <f>(D31/H31)</f>
        <v>0.044143673469388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24500.0</v>
      </c>
      <c r="I32" s="12">
        <v>300</v>
      </c>
      <c r="J32" s="14">
        <v>23000</v>
      </c>
      <c r="K32" s="16">
        <f>(D32/H32)</f>
        <v>0.044143673469388</v>
      </c>
      <c r="L32" s="12">
        <v>59</v>
      </c>
      <c r="M32" s="14">
        <v>27000</v>
      </c>
      <c r="N32" s="16">
        <f>(D32/H32)</f>
        <v>0.044143673469388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24500.0</v>
      </c>
      <c r="I33" s="13">
        <v>176</v>
      </c>
      <c r="J33" s="15">
        <v>22500</v>
      </c>
      <c r="K33" s="17">
        <f>(D33/H33)</f>
        <v>0.044143673469388</v>
      </c>
      <c r="L33" s="13">
        <v>33</v>
      </c>
      <c r="M33" s="15">
        <v>28000</v>
      </c>
      <c r="N33" s="17">
        <f>(D33/H33)</f>
        <v>0.044143673469388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24500.0</v>
      </c>
      <c r="I34" s="12">
        <v>5</v>
      </c>
      <c r="J34" s="14">
        <v>20000</v>
      </c>
      <c r="K34" s="16">
        <f>(D34/H34)</f>
        <v>0.044143673469388</v>
      </c>
      <c r="L34" s="12">
        <v>589</v>
      </c>
      <c r="M34" s="14">
        <v>28500</v>
      </c>
      <c r="N34" s="16">
        <f>(D34/H34)</f>
        <v>0.044143673469388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34000.0</v>
      </c>
      <c r="I35" s="13">
        <v>8106</v>
      </c>
      <c r="J35" s="15">
        <v>33000</v>
      </c>
      <c r="K35" s="17">
        <f>(D35/H35)</f>
        <v>0.047550882352941</v>
      </c>
      <c r="L35" s="13">
        <v>262</v>
      </c>
      <c r="M35" s="15">
        <v>34450</v>
      </c>
      <c r="N35" s="17">
        <f>(D35/H35)</f>
        <v>0.047550882352941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34000.0</v>
      </c>
      <c r="I36" s="12">
        <v>1</v>
      </c>
      <c r="J36" s="14">
        <v>32500</v>
      </c>
      <c r="K36" s="16">
        <f>(D36/H36)</f>
        <v>0.047550882352941</v>
      </c>
      <c r="L36" s="12">
        <v>55</v>
      </c>
      <c r="M36" s="14">
        <v>34500</v>
      </c>
      <c r="N36" s="16">
        <f>(D36/H36)</f>
        <v>0.047550882352941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34000.0</v>
      </c>
      <c r="I37" s="13">
        <v>9</v>
      </c>
      <c r="J37" s="15">
        <v>30000</v>
      </c>
      <c r="K37" s="17">
        <f>(D37/H37)</f>
        <v>0.047550882352941</v>
      </c>
      <c r="L37" s="13">
        <v>47</v>
      </c>
      <c r="M37" s="15">
        <v>34900</v>
      </c>
      <c r="N37" s="17">
        <f>(D37/H37)</f>
        <v>0.047550882352941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34000.0</v>
      </c>
      <c r="I38" s="12">
        <v>1</v>
      </c>
      <c r="J38" s="14">
        <v>28000</v>
      </c>
      <c r="K38" s="16">
        <f>(D38/H38)</f>
        <v>0.047550882352941</v>
      </c>
      <c r="L38" s="12">
        <v>1</v>
      </c>
      <c r="M38" s="14">
        <v>35000</v>
      </c>
      <c r="N38" s="16">
        <f>(D38/H38)</f>
        <v>0.047550882352941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34000.0</v>
      </c>
      <c r="I39" s="13" t="s">
        <v>18</v>
      </c>
      <c r="J39" s="15" t="s">
        <v>18</v>
      </c>
      <c r="K39" s="17" t="s">
        <v>18</v>
      </c>
      <c r="L39" s="13">
        <v>4</v>
      </c>
      <c r="M39" s="15">
        <v>36500</v>
      </c>
      <c r="N39" s="17">
        <f>(D39/H39)</f>
        <v>0.047550882352941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34000.0</v>
      </c>
      <c r="I40" s="12" t="s">
        <v>18</v>
      </c>
      <c r="J40" s="14" t="s">
        <v>18</v>
      </c>
      <c r="K40" s="16" t="s">
        <v>18</v>
      </c>
      <c r="L40" s="12">
        <v>5</v>
      </c>
      <c r="M40" s="14">
        <v>37000</v>
      </c>
      <c r="N40" s="16">
        <f>(D40/H40)</f>
        <v>0.047550882352941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34000.0</v>
      </c>
      <c r="I41" s="13" t="s">
        <v>18</v>
      </c>
      <c r="J41" s="15" t="s">
        <v>18</v>
      </c>
      <c r="K41" s="17" t="s">
        <v>18</v>
      </c>
      <c r="L41" s="13">
        <v>5</v>
      </c>
      <c r="M41" s="15">
        <v>40000</v>
      </c>
      <c r="N41" s="17">
        <f>(D41/H41)</f>
        <v>0.047550882352941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105500.0</v>
      </c>
      <c r="I42" s="12">
        <v>60</v>
      </c>
      <c r="J42" s="14">
        <v>104000.10000000000582</v>
      </c>
      <c r="K42" s="16">
        <f>(D42/H42)</f>
        <v>0.087439620853081</v>
      </c>
      <c r="L42" s="12">
        <v>3144</v>
      </c>
      <c r="M42" s="14">
        <v>105000</v>
      </c>
      <c r="N42" s="16">
        <f>(D42/H42)</f>
        <v>0.087439620853081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105500.0</v>
      </c>
      <c r="I43" s="13">
        <v>44</v>
      </c>
      <c r="J43" s="15">
        <v>104000</v>
      </c>
      <c r="K43" s="17">
        <f>(D43/H43)</f>
        <v>0.087439620853081</v>
      </c>
      <c r="L43" s="13">
        <v>5</v>
      </c>
      <c r="M43" s="15">
        <v>105300</v>
      </c>
      <c r="N43" s="17">
        <f>(D43/H43)</f>
        <v>0.087439620853081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105500.0</v>
      </c>
      <c r="I44" s="12">
        <v>119</v>
      </c>
      <c r="J44" s="14">
        <v>103115</v>
      </c>
      <c r="K44" s="16">
        <f>(D44/H44)</f>
        <v>0.087439620853081</v>
      </c>
      <c r="L44" s="12">
        <v>5</v>
      </c>
      <c r="M44" s="14">
        <v>105500</v>
      </c>
      <c r="N44" s="16">
        <f>(D44/H44)</f>
        <v>0.087439620853081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105500.0</v>
      </c>
      <c r="I45" s="13">
        <v>38</v>
      </c>
      <c r="J45" s="15">
        <v>103000</v>
      </c>
      <c r="K45" s="17">
        <f>(D45/H45)</f>
        <v>0.087439620853081</v>
      </c>
      <c r="L45" s="13">
        <v>40</v>
      </c>
      <c r="M45" s="15">
        <v>105950</v>
      </c>
      <c r="N45" s="17">
        <f>(D45/H45)</f>
        <v>0.087439620853081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105500.0</v>
      </c>
      <c r="I46" s="12">
        <v>550</v>
      </c>
      <c r="J46" s="14">
        <v>100000</v>
      </c>
      <c r="K46" s="16">
        <f>(D46/H46)</f>
        <v>0.087439620853081</v>
      </c>
      <c r="L46" s="12">
        <v>332</v>
      </c>
      <c r="M46" s="14">
        <v>106000</v>
      </c>
      <c r="N46" s="16">
        <f>(D46/H46)</f>
        <v>0.087439620853081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105500.0</v>
      </c>
      <c r="I47" s="13">
        <v>34</v>
      </c>
      <c r="J47" s="15">
        <v>90000</v>
      </c>
      <c r="K47" s="17">
        <f>(D47/H47)</f>
        <v>0.087439620853081</v>
      </c>
      <c r="L47" s="13">
        <v>283</v>
      </c>
      <c r="M47" s="15">
        <v>107000</v>
      </c>
      <c r="N47" s="17">
        <f>(D47/H47)</f>
        <v>0.087439620853081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105500.0</v>
      </c>
      <c r="I48" s="12" t="s">
        <v>18</v>
      </c>
      <c r="J48" s="14" t="s">
        <v>18</v>
      </c>
      <c r="K48" s="16" t="s">
        <v>18</v>
      </c>
      <c r="L48" s="12">
        <v>5</v>
      </c>
      <c r="M48" s="14">
        <v>107200</v>
      </c>
      <c r="N48" s="16">
        <f>(D48/H48)</f>
        <v>0.087439620853081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105500.0</v>
      </c>
      <c r="I49" s="13" t="s">
        <v>18</v>
      </c>
      <c r="J49" s="15" t="s">
        <v>18</v>
      </c>
      <c r="K49" s="17" t="s">
        <v>18</v>
      </c>
      <c r="L49" s="13">
        <v>1182</v>
      </c>
      <c r="M49" s="15">
        <v>107500</v>
      </c>
      <c r="N49" s="17">
        <f>(D49/H49)</f>
        <v>0.087439620853081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105500.0</v>
      </c>
      <c r="I50" s="12" t="s">
        <v>18</v>
      </c>
      <c r="J50" s="14" t="s">
        <v>18</v>
      </c>
      <c r="K50" s="16" t="s">
        <v>18</v>
      </c>
      <c r="L50" s="12">
        <v>505</v>
      </c>
      <c r="M50" s="14">
        <v>108000</v>
      </c>
      <c r="N50" s="16">
        <f>(D50/H50)</f>
        <v>0.087439620853081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105500.0</v>
      </c>
      <c r="I51" s="13" t="s">
        <v>18</v>
      </c>
      <c r="J51" s="15" t="s">
        <v>18</v>
      </c>
      <c r="K51" s="17" t="s">
        <v>18</v>
      </c>
      <c r="L51" s="13">
        <v>171</v>
      </c>
      <c r="M51" s="15">
        <v>110000</v>
      </c>
      <c r="N51" s="17">
        <f>(D51/H51)</f>
        <v>0.087439620853081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105500.0</v>
      </c>
      <c r="I52" s="12" t="s">
        <v>18</v>
      </c>
      <c r="J52" s="14" t="s">
        <v>18</v>
      </c>
      <c r="K52" s="16" t="s">
        <v>18</v>
      </c>
      <c r="L52" s="12">
        <v>50</v>
      </c>
      <c r="M52" s="14">
        <v>121000</v>
      </c>
      <c r="N52" s="16">
        <f>(D52/H52)</f>
        <v>0.087439620853081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105500.0</v>
      </c>
      <c r="I53" s="13" t="s">
        <v>18</v>
      </c>
      <c r="J53" s="15" t="s">
        <v>18</v>
      </c>
      <c r="K53" s="17" t="s">
        <v>18</v>
      </c>
      <c r="L53" s="13">
        <v>222</v>
      </c>
      <c r="M53" s="15">
        <v>122000</v>
      </c>
      <c r="N53" s="17">
        <f>(D53/H53)</f>
        <v>0.087439620853081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105500.0</v>
      </c>
      <c r="I54" s="12" t="s">
        <v>18</v>
      </c>
      <c r="J54" s="14" t="s">
        <v>18</v>
      </c>
      <c r="K54" s="16" t="s">
        <v>18</v>
      </c>
      <c r="L54" s="12">
        <v>128</v>
      </c>
      <c r="M54" s="14">
        <v>125000</v>
      </c>
      <c r="N54" s="16">
        <f>(D54/H54)</f>
        <v>0.087439620853081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12</v>
      </c>
      <c r="J55" s="15">
        <v>100</v>
      </c>
      <c r="K55" s="17">
        <f>yield(+WORKDAY(TODAY(),1,0),G55,E55,J55,100,2,1)</f>
      </c>
      <c r="L55" s="13">
        <v>490</v>
      </c>
      <c r="M55" s="15">
        <v>101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101.0</v>
      </c>
      <c r="I56" s="12">
        <v>10</v>
      </c>
      <c r="J56" s="14">
        <v>98</v>
      </c>
      <c r="K56" s="16">
        <f>yield(+WORKDAY(TODAY(),1,0),G56,E56,J56,100,2,1)</f>
      </c>
      <c r="L56" s="12">
        <v>9</v>
      </c>
      <c r="M56" s="14">
        <v>105</v>
      </c>
      <c r="N56" s="16">
        <f>yield(+WORKDAY(TODAY(),1,0),G56,E56,M56,100,2,1)</f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101.0</v>
      </c>
      <c r="I57" s="13">
        <v>20</v>
      </c>
      <c r="J57" s="15">
        <v>96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101.0</v>
      </c>
      <c r="I58" s="12">
        <v>1</v>
      </c>
      <c r="J58" s="14">
        <v>88.64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115.0</v>
      </c>
      <c r="I59" s="13">
        <v>7</v>
      </c>
      <c r="J59" s="15">
        <v>115</v>
      </c>
      <c r="K59" s="17">
        <f>L59/100</f>
        <v>0.96</v>
      </c>
      <c r="L59" s="13">
        <v>96</v>
      </c>
      <c r="M59" s="15">
        <v>116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115.0</v>
      </c>
      <c r="I60" s="12">
        <v>80</v>
      </c>
      <c r="J60" s="14">
        <v>104</v>
      </c>
      <c r="K60" s="16">
        <f>L60/100</f>
        <v>1.86</v>
      </c>
      <c r="L60" s="12">
        <v>186</v>
      </c>
      <c r="M60" s="14">
        <v>118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115.0</v>
      </c>
      <c r="I61" s="13" t="s">
        <v>18</v>
      </c>
      <c r="J61" s="15" t="s">
        <v>18</v>
      </c>
      <c r="K61" s="17" t="s">
        <v>18</v>
      </c>
      <c r="L61" s="13">
        <v>8</v>
      </c>
      <c r="M61" s="15">
        <v>125</v>
      </c>
      <c r="N61" s="17">
        <f>yield(+WORKDAY(TODAY(),1,0),G61,E61,M61,100,2,1)</f>
      </c>
    </row>
    <row r="62" spans="1:14">
      <c r="A62" s="4" t="s">
        <v>36</v>
      </c>
      <c r="B62" s="4" t="s">
        <v>37</v>
      </c>
      <c r="C62" s="4" t="s">
        <v>38</v>
      </c>
      <c r="D62" s="6">
        <v>1000.0</v>
      </c>
      <c r="E62" s="8">
        <v>0.07</v>
      </c>
      <c r="F62" s="10" t="s">
        <v>39</v>
      </c>
      <c r="G62" s="10" t="s">
        <v>40</v>
      </c>
      <c r="H62" s="6">
        <v>99.51000000000001</v>
      </c>
      <c r="I62" s="12">
        <v>3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41</v>
      </c>
      <c r="B63" s="5" t="s">
        <v>42</v>
      </c>
      <c r="C63" s="5" t="s">
        <v>38</v>
      </c>
      <c r="D63" s="7">
        <v>1000.0</v>
      </c>
      <c r="E63" s="9">
        <v>0.07</v>
      </c>
      <c r="F63" s="11" t="s">
        <v>43</v>
      </c>
      <c r="G63" s="11" t="s">
        <v>44</v>
      </c>
      <c r="H63" s="7">
        <v>100.40000000000001</v>
      </c>
      <c r="I63" s="13">
        <v>115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45</v>
      </c>
      <c r="B64" s="4" t="s">
        <v>46</v>
      </c>
      <c r="C64" s="4" t="s">
        <v>38</v>
      </c>
      <c r="D64" s="6">
        <v>1000.0</v>
      </c>
      <c r="E64" s="8">
        <v>0.08</v>
      </c>
      <c r="F64" s="10" t="s">
        <v>47</v>
      </c>
      <c r="G64" s="10" t="s">
        <v>48</v>
      </c>
      <c r="H64" s="6">
        <v>101.0</v>
      </c>
      <c r="I64" s="12">
        <v>5</v>
      </c>
      <c r="J64" s="14">
        <v>101.099999999999994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45</v>
      </c>
      <c r="B65" s="5" t="s">
        <v>46</v>
      </c>
      <c r="C65" s="5" t="s">
        <v>38</v>
      </c>
      <c r="D65" s="7">
        <v>1000.0</v>
      </c>
      <c r="E65" s="9">
        <v>0.08</v>
      </c>
      <c r="F65" s="11" t="s">
        <v>47</v>
      </c>
      <c r="G65" s="11" t="s">
        <v>48</v>
      </c>
      <c r="H65" s="7">
        <v>101.0</v>
      </c>
      <c r="I65" s="13">
        <v>5</v>
      </c>
      <c r="J65" s="15">
        <v>101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45</v>
      </c>
      <c r="B66" s="4" t="s">
        <v>46</v>
      </c>
      <c r="C66" s="4" t="s">
        <v>38</v>
      </c>
      <c r="D66" s="6">
        <v>1000.0</v>
      </c>
      <c r="E66" s="8">
        <v>0.08</v>
      </c>
      <c r="F66" s="10" t="s">
        <v>47</v>
      </c>
      <c r="G66" s="10" t="s">
        <v>48</v>
      </c>
      <c r="H66" s="6">
        <v>101.0</v>
      </c>
      <c r="I66" s="12">
        <v>65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49</v>
      </c>
      <c r="B67" s="5" t="s">
        <v>50</v>
      </c>
      <c r="C67" s="5" t="s">
        <v>38</v>
      </c>
      <c r="D67" s="7">
        <v>1000.0</v>
      </c>
      <c r="E67" s="9">
        <v>0.05</v>
      </c>
      <c r="F67" s="11" t="s">
        <v>51</v>
      </c>
      <c r="G67" s="11" t="s">
        <v>52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14</v>
      </c>
      <c r="M67" s="15">
        <v>101</v>
      </c>
      <c r="N67" s="17">
        <f>yield(+WORKDAY(TODAY(),1,0),G67,E67,M67,100,2,1)</f>
      </c>
    </row>
    <row r="68" spans="1:14">
      <c r="A68" s="4" t="s">
        <v>53</v>
      </c>
      <c r="B68" s="4" t="s">
        <v>54</v>
      </c>
      <c r="C68" s="4" t="s">
        <v>38</v>
      </c>
      <c r="D68" s="6">
        <v>1000.0</v>
      </c>
      <c r="E68" s="8">
        <v>0.07</v>
      </c>
      <c r="F68" s="10" t="s">
        <v>55</v>
      </c>
      <c r="G68" s="10" t="s">
        <v>56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1</v>
      </c>
      <c r="M68" s="14">
        <v>100</v>
      </c>
      <c r="N68" s="16">
        <f>yield(+WORKDAY(TODAY(),1,0),G68,E68,M68,100,2,1)</f>
      </c>
    </row>
    <row r="69" spans="1:14">
      <c r="A69" s="5" t="s">
        <v>57</v>
      </c>
      <c r="B69" s="5" t="s">
        <v>58</v>
      </c>
      <c r="C69" s="5" t="s">
        <v>38</v>
      </c>
      <c r="D69" s="7">
        <v>1000.0</v>
      </c>
      <c r="E69" s="9">
        <v>0.07</v>
      </c>
      <c r="F69" s="11" t="s">
        <v>59</v>
      </c>
      <c r="G69" s="11" t="s">
        <v>60</v>
      </c>
      <c r="H69" s="7">
        <v>100.0</v>
      </c>
      <c r="I69" s="13">
        <v>212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57</v>
      </c>
      <c r="B70" s="4" t="s">
        <v>58</v>
      </c>
      <c r="C70" s="4" t="s">
        <v>38</v>
      </c>
      <c r="D70" s="6">
        <v>1000.0</v>
      </c>
      <c r="E70" s="8">
        <v>0.07</v>
      </c>
      <c r="F70" s="10" t="s">
        <v>59</v>
      </c>
      <c r="G70" s="10" t="s">
        <v>60</v>
      </c>
      <c r="H70" s="6">
        <v>100.0</v>
      </c>
      <c r="I70" s="12">
        <v>725</v>
      </c>
      <c r="J70" s="14">
        <v>98.5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61</v>
      </c>
      <c r="B71" s="5" t="s">
        <v>62</v>
      </c>
      <c r="C71" s="5" t="s">
        <v>63</v>
      </c>
      <c r="D71" s="7">
        <v>100000.0</v>
      </c>
      <c r="E71" s="9">
        <v>0.1675</v>
      </c>
      <c r="F71" s="11" t="s">
        <v>64</v>
      </c>
      <c r="G71" s="11" t="s">
        <v>65</v>
      </c>
      <c r="H71" s="7">
        <v>99.0</v>
      </c>
      <c r="I71" s="13">
        <v>3</v>
      </c>
      <c r="J71" s="15">
        <v>99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66</v>
      </c>
      <c r="B72" s="4" t="s">
        <v>67</v>
      </c>
      <c r="C72" s="4" t="s">
        <v>63</v>
      </c>
      <c r="D72" s="6">
        <v>100000.0</v>
      </c>
      <c r="E72" s="8">
        <v>0.1675</v>
      </c>
      <c r="F72" s="10" t="s">
        <v>68</v>
      </c>
      <c r="G72" s="10" t="s">
        <v>69</v>
      </c>
      <c r="H72" s="6">
        <v>100.0</v>
      </c>
      <c r="I72" s="12">
        <v>3</v>
      </c>
      <c r="J72" s="14">
        <v>100</v>
      </c>
      <c r="K72" s="16">
        <f>yield(+WORKDAY(TODAY(),1,0),G72,E72,J72,100,2,1)</f>
      </c>
      <c r="L72" s="12">
        <v>2</v>
      </c>
      <c r="M72" s="14">
        <v>100.988</v>
      </c>
      <c r="N72" s="16">
        <f>yield(+WORKDAY(TODAY(),1,0),G72,E72,M72,100,2,1)</f>
      </c>
    </row>
    <row r="73" spans="1:14">
      <c r="A73" s="5" t="s">
        <v>66</v>
      </c>
      <c r="B73" s="5" t="s">
        <v>67</v>
      </c>
      <c r="C73" s="5" t="s">
        <v>63</v>
      </c>
      <c r="D73" s="7">
        <v>100000.0</v>
      </c>
      <c r="E73" s="9">
        <v>0.1675</v>
      </c>
      <c r="F73" s="11" t="s">
        <v>68</v>
      </c>
      <c r="G73" s="11" t="s">
        <v>69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10</v>
      </c>
      <c r="M73" s="15">
        <v>104</v>
      </c>
      <c r="N73" s="17">
        <f>yield(+WORKDAY(TODAY(),1,0),G73,E73,M73,100,2,1)</f>
      </c>
    </row>
    <row r="74" spans="1:14">
      <c r="A74" s="4" t="s">
        <v>66</v>
      </c>
      <c r="B74" s="4" t="s">
        <v>67</v>
      </c>
      <c r="C74" s="4" t="s">
        <v>63</v>
      </c>
      <c r="D74" s="6">
        <v>100000.0</v>
      </c>
      <c r="E74" s="8">
        <v>0.1675</v>
      </c>
      <c r="F74" s="10" t="s">
        <v>68</v>
      </c>
      <c r="G74" s="10" t="s">
        <v>69</v>
      </c>
      <c r="H74" s="6">
        <v>100.0</v>
      </c>
      <c r="I74" s="12" t="s">
        <v>18</v>
      </c>
      <c r="J74" s="14" t="s">
        <v>18</v>
      </c>
      <c r="K74" s="16" t="s">
        <v>18</v>
      </c>
      <c r="L74" s="12">
        <v>1</v>
      </c>
      <c r="M74" s="14">
        <v>105</v>
      </c>
      <c r="N74" s="16">
        <f>yield(+WORKDAY(TODAY(),1,0),G74,E74,M74,100,2,1)</f>
      </c>
    </row>
    <row r="75" spans="1:14">
      <c r="A75" s="5" t="s">
        <v>70</v>
      </c>
      <c r="B75" s="5" t="s">
        <v>71</v>
      </c>
      <c r="C75" s="5" t="s">
        <v>63</v>
      </c>
      <c r="D75" s="7">
        <v>100000.0</v>
      </c>
      <c r="E75" s="9">
        <v>0.1675</v>
      </c>
      <c r="F75" s="11" t="s">
        <v>72</v>
      </c>
      <c r="G75" s="11" t="s">
        <v>73</v>
      </c>
      <c r="H75" s="7">
        <v>98.0</v>
      </c>
      <c r="I75" s="13">
        <v>11</v>
      </c>
      <c r="J75" s="15">
        <v>99</v>
      </c>
      <c r="K75" s="17">
        <f>yield(+WORKDAY(TODAY(),1,0),G75,E75,J75,100,2,1)</f>
      </c>
      <c r="L75" s="13">
        <v>2</v>
      </c>
      <c r="M75" s="15">
        <v>101.59</v>
      </c>
      <c r="N75" s="17">
        <f>yield(+WORKDAY(TODAY(),1,0),G75,E75,M75,100,2,1)</f>
      </c>
    </row>
    <row r="76" spans="1:14">
      <c r="A76" s="4" t="s">
        <v>74</v>
      </c>
      <c r="B76" s="4" t="s">
        <v>75</v>
      </c>
      <c r="C76" s="4" t="s">
        <v>63</v>
      </c>
      <c r="D76" s="6">
        <v>100000.0</v>
      </c>
      <c r="E76" s="8">
        <v>0.195</v>
      </c>
      <c r="F76" s="10" t="s">
        <v>76</v>
      </c>
      <c r="G76" s="10" t="s">
        <v>77</v>
      </c>
      <c r="H76" s="6">
        <v>102.98999999999999</v>
      </c>
      <c r="I76" s="12">
        <v>224</v>
      </c>
      <c r="J76" s="14">
        <v>102.98999999999999</v>
      </c>
      <c r="K76" s="16">
        <f>yield(+WORKDAY(TODAY(),1,0),G76,E76,J76,100,2,1)</f>
      </c>
      <c r="L76" s="12">
        <v>476</v>
      </c>
      <c r="M76" s="14">
        <v>106</v>
      </c>
      <c r="N76" s="16">
        <f>yield(+WORKDAY(TODAY(),1,0),G76,E76,M76,100,2,1)</f>
      </c>
    </row>
    <row r="77" spans="1:14">
      <c r="A77" s="5" t="s">
        <v>74</v>
      </c>
      <c r="B77" s="5" t="s">
        <v>75</v>
      </c>
      <c r="C77" s="5" t="s">
        <v>63</v>
      </c>
      <c r="D77" s="7">
        <v>100000.0</v>
      </c>
      <c r="E77" s="9">
        <v>0.195</v>
      </c>
      <c r="F77" s="11" t="s">
        <v>76</v>
      </c>
      <c r="G77" s="11" t="s">
        <v>77</v>
      </c>
      <c r="H77" s="7">
        <v>102.98999999999999</v>
      </c>
      <c r="I77" s="13">
        <v>94</v>
      </c>
      <c r="J77" s="15">
        <v>101</v>
      </c>
      <c r="K77" s="17">
        <f>yield(+WORKDAY(TODAY(),1,0),G77,E77,J77,100,2,1)</f>
      </c>
      <c r="L77" s="13">
        <v>5467</v>
      </c>
      <c r="M77" s="15">
        <v>106.44499999999999</v>
      </c>
      <c r="N77" s="17">
        <f>yield(+WORKDAY(TODAY(),1,0),G77,E77,M77,100,2,1)</f>
      </c>
    </row>
    <row r="78" spans="1:14">
      <c r="A78" s="4" t="s">
        <v>74</v>
      </c>
      <c r="B78" s="4" t="s">
        <v>75</v>
      </c>
      <c r="C78" s="4" t="s">
        <v>63</v>
      </c>
      <c r="D78" s="6">
        <v>100000.0</v>
      </c>
      <c r="E78" s="8">
        <v>0.195</v>
      </c>
      <c r="F78" s="10" t="s">
        <v>76</v>
      </c>
      <c r="G78" s="10" t="s">
        <v>77</v>
      </c>
      <c r="H78" s="6">
        <v>102.98999999999999</v>
      </c>
      <c r="I78" s="12">
        <v>204</v>
      </c>
      <c r="J78" s="14">
        <v>100</v>
      </c>
      <c r="K78" s="16">
        <f>yield(+WORKDAY(TODAY(),1,0),G78,E78,J78,100,2,1)</f>
      </c>
      <c r="L78" s="12">
        <v>412</v>
      </c>
      <c r="M78" s="14">
        <v>106.5</v>
      </c>
      <c r="N78" s="16">
        <f>yield(+WORKDAY(TODAY(),1,0),G78,E78,M78,100,2,1)</f>
      </c>
    </row>
    <row r="79" spans="1:14">
      <c r="A79" s="5" t="s">
        <v>74</v>
      </c>
      <c r="B79" s="5" t="s">
        <v>75</v>
      </c>
      <c r="C79" s="5" t="s">
        <v>63</v>
      </c>
      <c r="D79" s="7">
        <v>100000.0</v>
      </c>
      <c r="E79" s="9">
        <v>0.195</v>
      </c>
      <c r="F79" s="11" t="s">
        <v>76</v>
      </c>
      <c r="G79" s="11" t="s">
        <v>77</v>
      </c>
      <c r="H79" s="7">
        <v>102.98999999999999</v>
      </c>
      <c r="I79" s="13">
        <v>25</v>
      </c>
      <c r="J79" s="15">
        <v>98</v>
      </c>
      <c r="K79" s="17">
        <f>yield(+WORKDAY(TODAY(),1,0),G79,E79,J79,100,2,1)</f>
      </c>
      <c r="L79" s="13">
        <v>69</v>
      </c>
      <c r="M79" s="15">
        <v>108</v>
      </c>
      <c r="N79" s="17">
        <f>yield(+WORKDAY(TODAY(),1,0),G79,E79,M79,100,2,1)</f>
      </c>
    </row>
    <row r="80" spans="1:14">
      <c r="A80" s="4" t="s">
        <v>74</v>
      </c>
      <c r="B80" s="4" t="s">
        <v>75</v>
      </c>
      <c r="C80" s="4" t="s">
        <v>63</v>
      </c>
      <c r="D80" s="6">
        <v>100000.0</v>
      </c>
      <c r="E80" s="8">
        <v>0.195</v>
      </c>
      <c r="F80" s="10" t="s">
        <v>76</v>
      </c>
      <c r="G80" s="10" t="s">
        <v>77</v>
      </c>
      <c r="H80" s="6">
        <v>102.98999999999999</v>
      </c>
      <c r="I80" s="12" t="s">
        <v>18</v>
      </c>
      <c r="J80" s="14" t="s">
        <v>18</v>
      </c>
      <c r="K80" s="16" t="s">
        <v>18</v>
      </c>
      <c r="L80" s="12">
        <v>30</v>
      </c>
      <c r="M80" s="14">
        <v>108.9999</v>
      </c>
      <c r="N80" s="16">
        <f>yield(+WORKDAY(TODAY(),1,0),G80,E80,M80,100,2,1)</f>
      </c>
    </row>
    <row r="81" spans="1:14">
      <c r="A81" s="5" t="s">
        <v>74</v>
      </c>
      <c r="B81" s="5" t="s">
        <v>75</v>
      </c>
      <c r="C81" s="5" t="s">
        <v>63</v>
      </c>
      <c r="D81" s="7">
        <v>100000.0</v>
      </c>
      <c r="E81" s="9">
        <v>0.195</v>
      </c>
      <c r="F81" s="11" t="s">
        <v>76</v>
      </c>
      <c r="G81" s="11" t="s">
        <v>77</v>
      </c>
      <c r="H81" s="7">
        <v>102.98999999999999</v>
      </c>
      <c r="I81" s="13" t="s">
        <v>18</v>
      </c>
      <c r="J81" s="15" t="s">
        <v>18</v>
      </c>
      <c r="K81" s="17" t="s">
        <v>18</v>
      </c>
      <c r="L81" s="13">
        <v>2545</v>
      </c>
      <c r="M81" s="15">
        <v>110</v>
      </c>
      <c r="N81" s="17">
        <f>yield(+WORKDAY(TODAY(),1,0),G81,E81,M81,100,2,1)</f>
      </c>
    </row>
    <row r="82" spans="1:14">
      <c r="A82" s="4" t="s">
        <v>78</v>
      </c>
      <c r="B82" s="4" t="s">
        <v>79</v>
      </c>
      <c r="C82" s="4" t="s">
        <v>63</v>
      </c>
      <c r="D82" s="6">
        <v>100000.0</v>
      </c>
      <c r="E82" s="8">
        <v>0.21</v>
      </c>
      <c r="F82" s="10" t="s">
        <v>80</v>
      </c>
      <c r="G82" s="10" t="s">
        <v>81</v>
      </c>
      <c r="H82" s="6">
        <v>108.0</v>
      </c>
      <c r="I82" s="12">
        <v>10</v>
      </c>
      <c r="J82" s="14">
        <v>108</v>
      </c>
      <c r="K82" s="16">
        <f>yield(+WORKDAY(TODAY(),1,0),G82,E82,J82,100,2,1)</f>
      </c>
      <c r="L82" s="12">
        <v>188</v>
      </c>
      <c r="M82" s="14">
        <v>113.5</v>
      </c>
      <c r="N82" s="16">
        <f>yield(+WORKDAY(TODAY(),1,0),G82,E82,M82,100,2,1)</f>
      </c>
    </row>
    <row r="83" spans="1:14">
      <c r="A83" s="5" t="s">
        <v>78</v>
      </c>
      <c r="B83" s="5" t="s">
        <v>79</v>
      </c>
      <c r="C83" s="5" t="s">
        <v>63</v>
      </c>
      <c r="D83" s="7">
        <v>100000.0</v>
      </c>
      <c r="E83" s="9">
        <v>0.21</v>
      </c>
      <c r="F83" s="11" t="s">
        <v>80</v>
      </c>
      <c r="G83" s="11" t="s">
        <v>81</v>
      </c>
      <c r="H83" s="7">
        <v>108.0</v>
      </c>
      <c r="I83" s="13">
        <v>33</v>
      </c>
      <c r="J83" s="15">
        <v>107.5</v>
      </c>
      <c r="K83" s="17">
        <f>yield(+WORKDAY(TODAY(),1,0),G83,E83,J83,100,2,1)</f>
      </c>
      <c r="L83" s="13">
        <v>407</v>
      </c>
      <c r="M83" s="15">
        <v>114.5</v>
      </c>
      <c r="N83" s="17">
        <f>yield(+WORKDAY(TODAY(),1,0),G83,E83,M83,100,2,1)</f>
      </c>
    </row>
    <row r="84" spans="1:14">
      <c r="A84" s="4" t="s">
        <v>78</v>
      </c>
      <c r="B84" s="4" t="s">
        <v>79</v>
      </c>
      <c r="C84" s="4" t="s">
        <v>63</v>
      </c>
      <c r="D84" s="6">
        <v>100000.0</v>
      </c>
      <c r="E84" s="8">
        <v>0.21</v>
      </c>
      <c r="F84" s="10" t="s">
        <v>80</v>
      </c>
      <c r="G84" s="10" t="s">
        <v>81</v>
      </c>
      <c r="H84" s="6">
        <v>108.0</v>
      </c>
      <c r="I84" s="12">
        <v>3</v>
      </c>
      <c r="J84" s="14">
        <v>106</v>
      </c>
      <c r="K84" s="16">
        <f>yield(+WORKDAY(TODAY(),1,0),G84,E84,J84,100,2,1)</f>
      </c>
      <c r="L84" s="12">
        <v>45</v>
      </c>
      <c r="M84" s="14">
        <v>115</v>
      </c>
      <c r="N84" s="16">
        <f>yield(+WORKDAY(TODAY(),1,0),G84,E84,M84,100,2,1)</f>
      </c>
    </row>
    <row r="85" spans="1:14">
      <c r="A85" s="5" t="s">
        <v>78</v>
      </c>
      <c r="B85" s="5" t="s">
        <v>79</v>
      </c>
      <c r="C85" s="5" t="s">
        <v>63</v>
      </c>
      <c r="D85" s="7">
        <v>100000.0</v>
      </c>
      <c r="E85" s="9">
        <v>0.21</v>
      </c>
      <c r="F85" s="11" t="s">
        <v>80</v>
      </c>
      <c r="G85" s="11" t="s">
        <v>81</v>
      </c>
      <c r="H85" s="7">
        <v>108.0</v>
      </c>
      <c r="I85" s="13">
        <v>57</v>
      </c>
      <c r="J85" s="15">
        <v>100</v>
      </c>
      <c r="K85" s="17">
        <f>yield(+WORKDAY(TODAY(),1,0),G85,E85,J85,100,2,1)</f>
      </c>
      <c r="L85" s="13">
        <v>19</v>
      </c>
      <c r="M85" s="15">
        <v>115.48999999999999</v>
      </c>
      <c r="N85" s="17">
        <f>yield(+WORKDAY(TODAY(),1,0),G85,E85,M85,100,2,1)</f>
      </c>
    </row>
    <row r="86" spans="1:14">
      <c r="A86" s="4" t="s">
        <v>78</v>
      </c>
      <c r="B86" s="4" t="s">
        <v>79</v>
      </c>
      <c r="C86" s="4" t="s">
        <v>63</v>
      </c>
      <c r="D86" s="6">
        <v>100000.0</v>
      </c>
      <c r="E86" s="8">
        <v>0.21</v>
      </c>
      <c r="F86" s="10" t="s">
        <v>80</v>
      </c>
      <c r="G86" s="10" t="s">
        <v>81</v>
      </c>
      <c r="H86" s="6">
        <v>108.0</v>
      </c>
      <c r="I86" s="12" t="s">
        <v>18</v>
      </c>
      <c r="J86" s="14" t="s">
        <v>18</v>
      </c>
      <c r="K86" s="16" t="s">
        <v>18</v>
      </c>
      <c r="L86" s="12">
        <v>35</v>
      </c>
      <c r="M86" s="14">
        <v>118</v>
      </c>
      <c r="N86" s="16">
        <f>yield(+WORKDAY(TODAY(),1,0),G86,E86,M86,100,2,1)</f>
      </c>
    </row>
    <row r="87" spans="1:14">
      <c r="A87" s="5" t="s">
        <v>82</v>
      </c>
      <c r="B87" s="5" t="s">
        <v>83</v>
      </c>
      <c r="C87" s="5" t="s">
        <v>63</v>
      </c>
      <c r="D87" s="7">
        <v>100000.0</v>
      </c>
      <c r="E87" s="9">
        <v>0.2</v>
      </c>
      <c r="F87" s="11" t="s">
        <v>80</v>
      </c>
      <c r="G87" s="11" t="s">
        <v>84</v>
      </c>
      <c r="H87" s="7">
        <v>108.89</v>
      </c>
      <c r="I87" s="13">
        <v>20</v>
      </c>
      <c r="J87" s="15">
        <v>104</v>
      </c>
      <c r="K87" s="17">
        <f>yield(+WORKDAY(TODAY(),1,0),G87,E87,J87,100,2,1)</f>
      </c>
      <c r="L87" s="13">
        <v>42</v>
      </c>
      <c r="M87" s="15">
        <v>108.84</v>
      </c>
      <c r="N87" s="17">
        <f>yield(+WORKDAY(TODAY(),1,0),G87,E87,M87,100,2,1)</f>
      </c>
    </row>
    <row r="88" spans="1:14">
      <c r="A88" s="4" t="s">
        <v>82</v>
      </c>
      <c r="B88" s="4" t="s">
        <v>83</v>
      </c>
      <c r="C88" s="4" t="s">
        <v>63</v>
      </c>
      <c r="D88" s="6">
        <v>100000.0</v>
      </c>
      <c r="E88" s="8">
        <v>0.2</v>
      </c>
      <c r="F88" s="10" t="s">
        <v>80</v>
      </c>
      <c r="G88" s="10" t="s">
        <v>84</v>
      </c>
      <c r="H88" s="6">
        <v>108.89</v>
      </c>
      <c r="I88" s="12">
        <v>250</v>
      </c>
      <c r="J88" s="14">
        <v>103</v>
      </c>
      <c r="K88" s="16">
        <f>yield(+WORKDAY(TODAY(),1,0),G88,E88,J88,100,2,1)</f>
      </c>
      <c r="L88" s="12">
        <v>11847</v>
      </c>
      <c r="M88" s="14">
        <v>108.89</v>
      </c>
      <c r="N88" s="16">
        <f>yield(+WORKDAY(TODAY(),1,0),G88,E88,M88,100,2,1)</f>
      </c>
    </row>
    <row r="89" spans="1:14">
      <c r="A89" s="5" t="s">
        <v>82</v>
      </c>
      <c r="B89" s="5" t="s">
        <v>83</v>
      </c>
      <c r="C89" s="5" t="s">
        <v>63</v>
      </c>
      <c r="D89" s="7">
        <v>100000.0</v>
      </c>
      <c r="E89" s="9">
        <v>0.2</v>
      </c>
      <c r="F89" s="11" t="s">
        <v>80</v>
      </c>
      <c r="G89" s="11" t="s">
        <v>84</v>
      </c>
      <c r="H89" s="7">
        <v>108.89</v>
      </c>
      <c r="I89" s="13" t="s">
        <v>18</v>
      </c>
      <c r="J89" s="15" t="s">
        <v>18</v>
      </c>
      <c r="K89" s="17" t="s">
        <v>18</v>
      </c>
      <c r="L89" s="13">
        <v>236</v>
      </c>
      <c r="M89" s="15">
        <v>108.90000000000001</v>
      </c>
      <c r="N89" s="17">
        <f>yield(+WORKDAY(TODAY(),1,0),G89,E89,M89,100,2,1)</f>
      </c>
    </row>
    <row r="90" spans="1:14">
      <c r="A90" s="4" t="s">
        <v>85</v>
      </c>
      <c r="B90" s="4" t="s">
        <v>86</v>
      </c>
      <c r="C90" s="4" t="s">
        <v>63</v>
      </c>
      <c r="D90" s="6">
        <v>100000.0</v>
      </c>
      <c r="E90" s="8">
        <v>0.15</v>
      </c>
      <c r="F90" s="10" t="s">
        <v>87</v>
      </c>
      <c r="G90" s="10" t="s">
        <v>88</v>
      </c>
      <c r="H90" s="6">
        <v>98.5</v>
      </c>
      <c r="I90" s="12">
        <v>14224</v>
      </c>
      <c r="J90" s="14">
        <v>97.315</v>
      </c>
      <c r="K90" s="16">
        <f>yield(+WORKDAY(TODAY(),1,0),G90,E90,J90,100,2,1)</f>
      </c>
      <c r="L90" s="12">
        <v>23</v>
      </c>
      <c r="M90" s="14">
        <v>98.5</v>
      </c>
      <c r="N90" s="16">
        <f>yield(+WORKDAY(TODAY(),1,0),G90,E90,M90,100,2,1)</f>
      </c>
    </row>
    <row r="91" spans="1:14">
      <c r="A91" s="5" t="s">
        <v>85</v>
      </c>
      <c r="B91" s="5" t="s">
        <v>86</v>
      </c>
      <c r="C91" s="5" t="s">
        <v>63</v>
      </c>
      <c r="D91" s="7">
        <v>100000.0</v>
      </c>
      <c r="E91" s="9">
        <v>0.15</v>
      </c>
      <c r="F91" s="11" t="s">
        <v>87</v>
      </c>
      <c r="G91" s="11" t="s">
        <v>88</v>
      </c>
      <c r="H91" s="7">
        <v>98.5</v>
      </c>
      <c r="I91" s="13" t="s">
        <v>18</v>
      </c>
      <c r="J91" s="15" t="s">
        <v>18</v>
      </c>
      <c r="K91" s="17" t="s">
        <v>18</v>
      </c>
      <c r="L91" s="13">
        <v>7721</v>
      </c>
      <c r="M91" s="15">
        <v>99.986</v>
      </c>
      <c r="N91" s="17">
        <f>yield(+WORKDAY(TODAY(),1,0),G91,E91,M91,100,2,1)</f>
      </c>
    </row>
    <row r="92" spans="1:14">
      <c r="A92" s="4" t="s">
        <v>85</v>
      </c>
      <c r="B92" s="4" t="s">
        <v>86</v>
      </c>
      <c r="C92" s="4" t="s">
        <v>63</v>
      </c>
      <c r="D92" s="6">
        <v>100000.0</v>
      </c>
      <c r="E92" s="8">
        <v>0.15</v>
      </c>
      <c r="F92" s="10" t="s">
        <v>87</v>
      </c>
      <c r="G92" s="10" t="s">
        <v>88</v>
      </c>
      <c r="H92" s="6">
        <v>98.5</v>
      </c>
      <c r="I92" s="12" t="s">
        <v>18</v>
      </c>
      <c r="J92" s="14" t="s">
        <v>18</v>
      </c>
      <c r="K92" s="16" t="s">
        <v>18</v>
      </c>
      <c r="L92" s="12">
        <v>111348</v>
      </c>
      <c r="M92" s="14">
        <v>101.5</v>
      </c>
      <c r="N92" s="16">
        <f>yield(+WORKDAY(TODAY(),1,0),G92,E92,M92,100,2,1)</f>
      </c>
    </row>
    <row r="93" spans="1:14">
      <c r="A93" s="5" t="s">
        <v>85</v>
      </c>
      <c r="B93" s="5" t="s">
        <v>86</v>
      </c>
      <c r="C93" s="5" t="s">
        <v>63</v>
      </c>
      <c r="D93" s="7">
        <v>100000.0</v>
      </c>
      <c r="E93" s="9">
        <v>0.15</v>
      </c>
      <c r="F93" s="11" t="s">
        <v>87</v>
      </c>
      <c r="G93" s="11" t="s">
        <v>88</v>
      </c>
      <c r="H93" s="7">
        <v>98.5</v>
      </c>
      <c r="I93" s="13" t="s">
        <v>18</v>
      </c>
      <c r="J93" s="15" t="s">
        <v>18</v>
      </c>
      <c r="K93" s="17" t="s">
        <v>18</v>
      </c>
      <c r="L93" s="13">
        <v>23</v>
      </c>
      <c r="M93" s="15">
        <v>105</v>
      </c>
      <c r="N93" s="17">
        <f>yield(+WORKDAY(TODAY(),1,0),G93,E93,M93,100,2,1)</f>
      </c>
    </row>
    <row r="94" spans="1:14">
      <c r="A94" s="4" t="s">
        <v>89</v>
      </c>
      <c r="B94" s="4" t="s">
        <v>90</v>
      </c>
      <c r="C94" s="4" t="s">
        <v>63</v>
      </c>
      <c r="D94" s="6">
        <v>100000.0</v>
      </c>
      <c r="E94" s="8">
        <v>0.16</v>
      </c>
      <c r="F94" s="10" t="s">
        <v>91</v>
      </c>
      <c r="G94" s="10" t="s">
        <v>92</v>
      </c>
      <c r="H94" s="6">
        <v>101.69199999999999</v>
      </c>
      <c r="I94" s="12" t="s">
        <v>18</v>
      </c>
      <c r="J94" s="14" t="s">
        <v>18</v>
      </c>
      <c r="K94" s="16" t="s">
        <v>18</v>
      </c>
      <c r="L94" s="12">
        <v>200</v>
      </c>
      <c r="M94" s="14">
        <v>101.69199999999999</v>
      </c>
      <c r="N94" s="16">
        <f>yield(+WORKDAY(TODAY(),1,0),G94,E94,M94,100,2,1)</f>
      </c>
    </row>
    <row r="95" spans="1:14">
      <c r="A95" s="5" t="s">
        <v>89</v>
      </c>
      <c r="B95" s="5" t="s">
        <v>90</v>
      </c>
      <c r="C95" s="5" t="s">
        <v>63</v>
      </c>
      <c r="D95" s="7">
        <v>100000.0</v>
      </c>
      <c r="E95" s="9">
        <v>0.16</v>
      </c>
      <c r="F95" s="11" t="s">
        <v>91</v>
      </c>
      <c r="G95" s="11" t="s">
        <v>92</v>
      </c>
      <c r="H95" s="7">
        <v>101.69199999999999</v>
      </c>
      <c r="I95" s="13" t="s">
        <v>18</v>
      </c>
      <c r="J95" s="15" t="s">
        <v>18</v>
      </c>
      <c r="K95" s="17" t="s">
        <v>18</v>
      </c>
      <c r="L95" s="13">
        <v>148408</v>
      </c>
      <c r="M95" s="15">
        <v>102</v>
      </c>
      <c r="N95" s="17">
        <f>yield(+WORKDAY(TODAY(),1,0),G95,E95,M95,100,2,1)</f>
      </c>
    </row>
    <row r="96" spans="1:14">
      <c r="A96" s="4" t="s">
        <v>93</v>
      </c>
      <c r="B96" s="4" t="s">
        <v>94</v>
      </c>
      <c r="C96" s="4" t="s">
        <v>63</v>
      </c>
      <c r="D96" s="6">
        <v>100000.0</v>
      </c>
      <c r="E96" s="8">
        <v>0.1625</v>
      </c>
      <c r="F96" s="10" t="s">
        <v>95</v>
      </c>
      <c r="G96" s="10" t="s">
        <v>96</v>
      </c>
      <c r="H96" s="6">
        <v>95.5</v>
      </c>
      <c r="I96" s="12" t="s">
        <v>18</v>
      </c>
      <c r="J96" s="14" t="s">
        <v>18</v>
      </c>
      <c r="K96" s="16" t="s">
        <v>18</v>
      </c>
      <c r="L96" s="12">
        <v>193</v>
      </c>
      <c r="M96" s="14">
        <v>95</v>
      </c>
      <c r="N96" s="16">
        <f>yield(+WORKDAY(TODAY(),1,0),G96,E96,M96,100,2,1)</f>
      </c>
    </row>
    <row r="97" spans="1:14">
      <c r="A97" s="5" t="s">
        <v>93</v>
      </c>
      <c r="B97" s="5" t="s">
        <v>94</v>
      </c>
      <c r="C97" s="5" t="s">
        <v>63</v>
      </c>
      <c r="D97" s="7">
        <v>100000.0</v>
      </c>
      <c r="E97" s="9">
        <v>0.1625</v>
      </c>
      <c r="F97" s="11" t="s">
        <v>95</v>
      </c>
      <c r="G97" s="11" t="s">
        <v>96</v>
      </c>
      <c r="H97" s="7">
        <v>95.5</v>
      </c>
      <c r="I97" s="13" t="s">
        <v>18</v>
      </c>
      <c r="J97" s="15" t="s">
        <v>18</v>
      </c>
      <c r="K97" s="17" t="s">
        <v>18</v>
      </c>
      <c r="L97" s="13">
        <v>1</v>
      </c>
      <c r="M97" s="15">
        <v>95.5</v>
      </c>
      <c r="N97" s="17">
        <f>yield(+WORKDAY(TODAY(),1,0),G97,E97,M97,100,2,1)</f>
      </c>
    </row>
    <row r="98" spans="1:14">
      <c r="A98" s="4" t="s">
        <v>93</v>
      </c>
      <c r="B98" s="4" t="s">
        <v>94</v>
      </c>
      <c r="C98" s="4" t="s">
        <v>63</v>
      </c>
      <c r="D98" s="6">
        <v>100000.0</v>
      </c>
      <c r="E98" s="8">
        <v>0.1625</v>
      </c>
      <c r="F98" s="10" t="s">
        <v>95</v>
      </c>
      <c r="G98" s="10" t="s">
        <v>96</v>
      </c>
      <c r="H98" s="6">
        <v>95.5</v>
      </c>
      <c r="I98" s="12" t="s">
        <v>18</v>
      </c>
      <c r="J98" s="14" t="s">
        <v>18</v>
      </c>
      <c r="K98" s="16" t="s">
        <v>18</v>
      </c>
      <c r="L98" s="12">
        <v>22</v>
      </c>
      <c r="M98" s="14">
        <v>96</v>
      </c>
      <c r="N98" s="16">
        <f>yield(+WORKDAY(TODAY(),1,0),G98,E98,M98,100,2,1)</f>
      </c>
    </row>
    <row r="99" spans="1:14">
      <c r="A99" s="5" t="s">
        <v>93</v>
      </c>
      <c r="B99" s="5" t="s">
        <v>94</v>
      </c>
      <c r="C99" s="5" t="s">
        <v>63</v>
      </c>
      <c r="D99" s="7">
        <v>100000.0</v>
      </c>
      <c r="E99" s="9">
        <v>0.1625</v>
      </c>
      <c r="F99" s="11" t="s">
        <v>95</v>
      </c>
      <c r="G99" s="11" t="s">
        <v>96</v>
      </c>
      <c r="H99" s="7">
        <v>95.5</v>
      </c>
      <c r="I99" s="13" t="s">
        <v>18</v>
      </c>
      <c r="J99" s="15" t="s">
        <v>18</v>
      </c>
      <c r="K99" s="17" t="s">
        <v>18</v>
      </c>
      <c r="L99" s="13">
        <v>2</v>
      </c>
      <c r="M99" s="15">
        <v>96.3</v>
      </c>
      <c r="N99" s="17">
        <f>yield(+WORKDAY(TODAY(),1,0),G99,E99,M99,100,2,1)</f>
      </c>
    </row>
    <row r="100" spans="1:14">
      <c r="A100" s="4" t="s">
        <v>93</v>
      </c>
      <c r="B100" s="4" t="s">
        <v>94</v>
      </c>
      <c r="C100" s="4" t="s">
        <v>63</v>
      </c>
      <c r="D100" s="6">
        <v>100000.0</v>
      </c>
      <c r="E100" s="8">
        <v>0.1625</v>
      </c>
      <c r="F100" s="10" t="s">
        <v>95</v>
      </c>
      <c r="G100" s="10" t="s">
        <v>96</v>
      </c>
      <c r="H100" s="6">
        <v>95.5</v>
      </c>
      <c r="I100" s="12" t="s">
        <v>18</v>
      </c>
      <c r="J100" s="14" t="s">
        <v>18</v>
      </c>
      <c r="K100" s="16" t="s">
        <v>18</v>
      </c>
      <c r="L100" s="12">
        <v>21</v>
      </c>
      <c r="M100" s="14">
        <v>96.40000000000001</v>
      </c>
      <c r="N100" s="16">
        <f>yield(+WORKDAY(TODAY(),1,0),G100,E100,M100,100,2,1)</f>
      </c>
    </row>
    <row r="101" spans="1:14">
      <c r="A101" s="5" t="s">
        <v>93</v>
      </c>
      <c r="B101" s="5" t="s">
        <v>94</v>
      </c>
      <c r="C101" s="5" t="s">
        <v>63</v>
      </c>
      <c r="D101" s="7">
        <v>100000.0</v>
      </c>
      <c r="E101" s="9">
        <v>0.1625</v>
      </c>
      <c r="F101" s="11" t="s">
        <v>95</v>
      </c>
      <c r="G101" s="11" t="s">
        <v>96</v>
      </c>
      <c r="H101" s="7">
        <v>95.5</v>
      </c>
      <c r="I101" s="13" t="s">
        <v>18</v>
      </c>
      <c r="J101" s="15" t="s">
        <v>18</v>
      </c>
      <c r="K101" s="17" t="s">
        <v>18</v>
      </c>
      <c r="L101" s="13">
        <v>14</v>
      </c>
      <c r="M101" s="15">
        <v>96.48999999999999</v>
      </c>
      <c r="N101" s="17">
        <f>yield(+WORKDAY(TODAY(),1,0),G101,E101,M101,100,2,1)</f>
      </c>
    </row>
    <row r="102" spans="1:14">
      <c r="A102" s="4" t="s">
        <v>93</v>
      </c>
      <c r="B102" s="4" t="s">
        <v>94</v>
      </c>
      <c r="C102" s="4" t="s">
        <v>63</v>
      </c>
      <c r="D102" s="6">
        <v>100000.0</v>
      </c>
      <c r="E102" s="8">
        <v>0.1625</v>
      </c>
      <c r="F102" s="10" t="s">
        <v>95</v>
      </c>
      <c r="G102" s="10" t="s">
        <v>96</v>
      </c>
      <c r="H102" s="6">
        <v>95.5</v>
      </c>
      <c r="I102" s="12" t="s">
        <v>18</v>
      </c>
      <c r="J102" s="14" t="s">
        <v>18</v>
      </c>
      <c r="K102" s="16" t="s">
        <v>18</v>
      </c>
      <c r="L102" s="12">
        <v>109</v>
      </c>
      <c r="M102" s="14">
        <v>96.5</v>
      </c>
      <c r="N102" s="16">
        <f>yield(+WORKDAY(TODAY(),1,0),G102,E102,M102,100,2,1)</f>
      </c>
    </row>
    <row r="103" spans="1:14">
      <c r="A103" s="5" t="s">
        <v>93</v>
      </c>
      <c r="B103" s="5" t="s">
        <v>94</v>
      </c>
      <c r="C103" s="5" t="s">
        <v>63</v>
      </c>
      <c r="D103" s="7">
        <v>100000.0</v>
      </c>
      <c r="E103" s="9">
        <v>0.1625</v>
      </c>
      <c r="F103" s="11" t="s">
        <v>95</v>
      </c>
      <c r="G103" s="11" t="s">
        <v>96</v>
      </c>
      <c r="H103" s="7">
        <v>95.5</v>
      </c>
      <c r="I103" s="13" t="s">
        <v>18</v>
      </c>
      <c r="J103" s="15" t="s">
        <v>18</v>
      </c>
      <c r="K103" s="17" t="s">
        <v>18</v>
      </c>
      <c r="L103" s="13">
        <v>97</v>
      </c>
      <c r="M103" s="15">
        <v>97.495</v>
      </c>
      <c r="N103" s="17">
        <f>yield(+WORKDAY(TODAY(),1,0),G103,E103,M103,100,2,1)</f>
      </c>
    </row>
    <row r="104" spans="1:14">
      <c r="A104" s="4" t="s">
        <v>93</v>
      </c>
      <c r="B104" s="4" t="s">
        <v>94</v>
      </c>
      <c r="C104" s="4" t="s">
        <v>63</v>
      </c>
      <c r="D104" s="6">
        <v>100000.0</v>
      </c>
      <c r="E104" s="8">
        <v>0.1625</v>
      </c>
      <c r="F104" s="10" t="s">
        <v>95</v>
      </c>
      <c r="G104" s="10" t="s">
        <v>96</v>
      </c>
      <c r="H104" s="6">
        <v>95.5</v>
      </c>
      <c r="I104" s="12" t="s">
        <v>18</v>
      </c>
      <c r="J104" s="14" t="s">
        <v>18</v>
      </c>
      <c r="K104" s="16" t="s">
        <v>18</v>
      </c>
      <c r="L104" s="12">
        <v>68</v>
      </c>
      <c r="M104" s="14">
        <v>97.5</v>
      </c>
      <c r="N104" s="16">
        <f>yield(+WORKDAY(TODAY(),1,0),G104,E104,M104,100,2,1)</f>
      </c>
    </row>
    <row r="105" spans="1:14">
      <c r="A105" s="5" t="s">
        <v>93</v>
      </c>
      <c r="B105" s="5" t="s">
        <v>94</v>
      </c>
      <c r="C105" s="5" t="s">
        <v>63</v>
      </c>
      <c r="D105" s="7">
        <v>100000.0</v>
      </c>
      <c r="E105" s="9">
        <v>0.1625</v>
      </c>
      <c r="F105" s="11" t="s">
        <v>95</v>
      </c>
      <c r="G105" s="11" t="s">
        <v>96</v>
      </c>
      <c r="H105" s="7">
        <v>95.5</v>
      </c>
      <c r="I105" s="13" t="s">
        <v>18</v>
      </c>
      <c r="J105" s="15" t="s">
        <v>18</v>
      </c>
      <c r="K105" s="17" t="s">
        <v>18</v>
      </c>
      <c r="L105" s="13">
        <v>48</v>
      </c>
      <c r="M105" s="15">
        <v>98.5</v>
      </c>
      <c r="N105" s="17">
        <f>yield(+WORKDAY(TODAY(),1,0),G105,E105,M105,100,2,1)</f>
      </c>
    </row>
    <row r="106" spans="1:14">
      <c r="A106" s="4" t="s">
        <v>93</v>
      </c>
      <c r="B106" s="4" t="s">
        <v>94</v>
      </c>
      <c r="C106" s="4" t="s">
        <v>63</v>
      </c>
      <c r="D106" s="6">
        <v>100000.0</v>
      </c>
      <c r="E106" s="8">
        <v>0.1625</v>
      </c>
      <c r="F106" s="10" t="s">
        <v>95</v>
      </c>
      <c r="G106" s="10" t="s">
        <v>96</v>
      </c>
      <c r="H106" s="6">
        <v>95.5</v>
      </c>
      <c r="I106" s="12" t="s">
        <v>18</v>
      </c>
      <c r="J106" s="14" t="s">
        <v>18</v>
      </c>
      <c r="K106" s="16" t="s">
        <v>18</v>
      </c>
      <c r="L106" s="12">
        <v>10</v>
      </c>
      <c r="M106" s="14">
        <v>100</v>
      </c>
      <c r="N106" s="16">
        <f>yield(+WORKDAY(TODAY(),1,0),G106,E106,M106,100,2,1)</f>
      </c>
    </row>
    <row r="107" spans="1:14">
      <c r="A107" s="5" t="s">
        <v>93</v>
      </c>
      <c r="B107" s="5" t="s">
        <v>94</v>
      </c>
      <c r="C107" s="5" t="s">
        <v>63</v>
      </c>
      <c r="D107" s="7">
        <v>100000.0</v>
      </c>
      <c r="E107" s="9">
        <v>0.1625</v>
      </c>
      <c r="F107" s="11" t="s">
        <v>95</v>
      </c>
      <c r="G107" s="11" t="s">
        <v>96</v>
      </c>
      <c r="H107" s="7">
        <v>95.5</v>
      </c>
      <c r="I107" s="13" t="s">
        <v>18</v>
      </c>
      <c r="J107" s="15" t="s">
        <v>18</v>
      </c>
      <c r="K107" s="17" t="s">
        <v>18</v>
      </c>
      <c r="L107" s="13">
        <v>60</v>
      </c>
      <c r="M107" s="15">
        <v>101.5</v>
      </c>
      <c r="N107" s="17">
        <f>yield(+WORKDAY(TODAY(),1,0),G107,E107,M107,100,2,1)</f>
      </c>
    </row>
    <row r="108" spans="1:14">
      <c r="A108" s="4" t="s">
        <v>97</v>
      </c>
      <c r="B108" s="4" t="s">
        <v>98</v>
      </c>
      <c r="C108" s="4" t="s">
        <v>63</v>
      </c>
      <c r="D108" s="6">
        <v>100000.0</v>
      </c>
      <c r="E108" s="8">
        <v>0.165</v>
      </c>
      <c r="F108" s="10" t="s">
        <v>99</v>
      </c>
      <c r="G108" s="10" t="s">
        <v>100</v>
      </c>
      <c r="H108" s="6">
        <v>97.0</v>
      </c>
      <c r="I108" s="12" t="s">
        <v>18</v>
      </c>
      <c r="J108" s="14" t="s">
        <v>18</v>
      </c>
      <c r="K108" s="16" t="s">
        <v>18</v>
      </c>
      <c r="L108" s="12">
        <v>142</v>
      </c>
      <c r="M108" s="14">
        <v>97</v>
      </c>
      <c r="N108" s="16">
        <f>yield(+WORKDAY(TODAY(),1,0),G108,E108,M108,100,2,1)</f>
      </c>
    </row>
    <row r="109" spans="1:14">
      <c r="A109" s="5" t="s">
        <v>97</v>
      </c>
      <c r="B109" s="5" t="s">
        <v>98</v>
      </c>
      <c r="C109" s="5" t="s">
        <v>63</v>
      </c>
      <c r="D109" s="7">
        <v>100000.0</v>
      </c>
      <c r="E109" s="9">
        <v>0.165</v>
      </c>
      <c r="F109" s="11" t="s">
        <v>99</v>
      </c>
      <c r="G109" s="11" t="s">
        <v>100</v>
      </c>
      <c r="H109" s="7">
        <v>97.0</v>
      </c>
      <c r="I109" s="13" t="s">
        <v>18</v>
      </c>
      <c r="J109" s="15" t="s">
        <v>18</v>
      </c>
      <c r="K109" s="17" t="s">
        <v>18</v>
      </c>
      <c r="L109" s="13">
        <v>6465</v>
      </c>
      <c r="M109" s="15">
        <v>98</v>
      </c>
      <c r="N109" s="17">
        <f>yield(+WORKDAY(TODAY(),1,0),G109,E109,M109,100,2,1)</f>
      </c>
    </row>
    <row r="110" spans="1:14">
      <c r="A110" s="4" t="s">
        <v>101</v>
      </c>
      <c r="B110" s="4" t="s">
        <v>102</v>
      </c>
      <c r="C110" s="4" t="s">
        <v>63</v>
      </c>
      <c r="D110" s="6">
        <v>100000.0</v>
      </c>
      <c r="E110" s="8">
        <v>0.17</v>
      </c>
      <c r="F110" s="10" t="s">
        <v>103</v>
      </c>
      <c r="G110" s="10" t="s">
        <v>104</v>
      </c>
      <c r="H110" s="6">
        <v>100.0</v>
      </c>
      <c r="I110" s="12">
        <v>1</v>
      </c>
      <c r="J110" s="14">
        <v>94</v>
      </c>
      <c r="K110" s="16">
        <f>yield(+WORKDAY(TODAY(),1,0),G110,E110,J110,100,2,1)</f>
      </c>
      <c r="L110" s="12">
        <v>6477</v>
      </c>
      <c r="M110" s="14">
        <v>100</v>
      </c>
      <c r="N110" s="16">
        <f>yield(+WORKDAY(TODAY(),1,0),G110,E110,M110,100,2,1)</f>
      </c>
    </row>
    <row r="111" spans="1:14">
      <c r="A111" s="5" t="s">
        <v>101</v>
      </c>
      <c r="B111" s="5" t="s">
        <v>102</v>
      </c>
      <c r="C111" s="5" t="s">
        <v>63</v>
      </c>
      <c r="D111" s="7">
        <v>100000.0</v>
      </c>
      <c r="E111" s="9">
        <v>0.17</v>
      </c>
      <c r="F111" s="11" t="s">
        <v>103</v>
      </c>
      <c r="G111" s="11" t="s">
        <v>104</v>
      </c>
      <c r="H111" s="7">
        <v>100.0</v>
      </c>
      <c r="I111" s="13" t="s">
        <v>18</v>
      </c>
      <c r="J111" s="15" t="s">
        <v>18</v>
      </c>
      <c r="K111" s="17" t="s">
        <v>18</v>
      </c>
      <c r="L111" s="13">
        <v>4751</v>
      </c>
      <c r="M111" s="15">
        <v>101.5</v>
      </c>
      <c r="N111" s="17">
        <f>yield(+WORKDAY(TODAY(),1,0),G111,E111,M111,100,2,1)</f>
      </c>
    </row>
    <row r="112" spans="1:14">
      <c r="A112" s="4" t="s">
        <v>101</v>
      </c>
      <c r="B112" s="4" t="s">
        <v>102</v>
      </c>
      <c r="C112" s="4" t="s">
        <v>63</v>
      </c>
      <c r="D112" s="6">
        <v>100000.0</v>
      </c>
      <c r="E112" s="8">
        <v>0.17</v>
      </c>
      <c r="F112" s="10" t="s">
        <v>103</v>
      </c>
      <c r="G112" s="10" t="s">
        <v>104</v>
      </c>
      <c r="H112" s="6">
        <v>100.0</v>
      </c>
      <c r="I112" s="12" t="s">
        <v>18</v>
      </c>
      <c r="J112" s="14" t="s">
        <v>18</v>
      </c>
      <c r="K112" s="16" t="s">
        <v>18</v>
      </c>
      <c r="L112" s="12">
        <v>16</v>
      </c>
      <c r="M112" s="14">
        <v>103</v>
      </c>
      <c r="N112" s="16">
        <f>yield(+WORKDAY(TODAY(),1,0),G112,E112,M112,100,2,1)</f>
      </c>
    </row>
    <row r="113" spans="1:14">
      <c r="A113" s="5" t="s">
        <v>101</v>
      </c>
      <c r="B113" s="5" t="s">
        <v>102</v>
      </c>
      <c r="C113" s="5" t="s">
        <v>63</v>
      </c>
      <c r="D113" s="7">
        <v>100000.0</v>
      </c>
      <c r="E113" s="9">
        <v>0.17</v>
      </c>
      <c r="F113" s="11" t="s">
        <v>103</v>
      </c>
      <c r="G113" s="11" t="s">
        <v>104</v>
      </c>
      <c r="H113" s="7">
        <v>100.0</v>
      </c>
      <c r="I113" s="13" t="s">
        <v>18</v>
      </c>
      <c r="J113" s="15" t="s">
        <v>18</v>
      </c>
      <c r="K113" s="17" t="s">
        <v>18</v>
      </c>
      <c r="L113" s="13">
        <v>22</v>
      </c>
      <c r="M113" s="15">
        <v>105</v>
      </c>
      <c r="N113" s="17">
        <f>yield(+WORKDAY(TODAY(),1,0),G113,E113,M113,100,2,1)</f>
      </c>
    </row>
    <row r="114" spans="1:14">
      <c r="A114" s="4" t="s">
        <v>105</v>
      </c>
      <c r="B114" s="4" t="s">
        <v>106</v>
      </c>
      <c r="C114" s="4" t="s">
        <v>63</v>
      </c>
      <c r="D114" s="6">
        <v>100000.0</v>
      </c>
      <c r="E114" s="8">
        <v>0.166</v>
      </c>
      <c r="F114" s="10" t="s">
        <v>91</v>
      </c>
      <c r="G114" s="10" t="s">
        <v>107</v>
      </c>
      <c r="H114" s="6">
        <v>92.0</v>
      </c>
      <c r="I114" s="12">
        <v>1</v>
      </c>
      <c r="J114" s="14">
        <v>92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108</v>
      </c>
      <c r="B115" s="5" t="s">
        <v>109</v>
      </c>
      <c r="C115" s="5" t="s">
        <v>63</v>
      </c>
      <c r="D115" s="7">
        <v>1000.0</v>
      </c>
      <c r="E115" s="9">
        <v>0.21</v>
      </c>
      <c r="F115" s="11" t="s">
        <v>110</v>
      </c>
      <c r="G115" s="11" t="s">
        <v>111</v>
      </c>
      <c r="H115" s="7">
        <v>116.0</v>
      </c>
      <c r="I115" s="13">
        <v>3269</v>
      </c>
      <c r="J115" s="15">
        <v>110</v>
      </c>
      <c r="K115" s="17">
        <f>yield(+WORKDAY(TODAY(),1,0),G115,E115,J115,100,2,1)</f>
      </c>
      <c r="L115" s="13">
        <v>34690</v>
      </c>
      <c r="M115" s="15">
        <v>116</v>
      </c>
      <c r="N115" s="17">
        <f>yield(+WORKDAY(TODAY(),1,0),G115,E115,M115,100,2,1)</f>
      </c>
    </row>
    <row r="116" spans="1:14">
      <c r="A116" s="4" t="s">
        <v>108</v>
      </c>
      <c r="B116" s="4" t="s">
        <v>109</v>
      </c>
      <c r="C116" s="4" t="s">
        <v>63</v>
      </c>
      <c r="D116" s="6">
        <v>1000.0</v>
      </c>
      <c r="E116" s="8">
        <v>0.21</v>
      </c>
      <c r="F116" s="10" t="s">
        <v>110</v>
      </c>
      <c r="G116" s="10" t="s">
        <v>111</v>
      </c>
      <c r="H116" s="6">
        <v>116.0</v>
      </c>
      <c r="I116" s="12">
        <v>1500</v>
      </c>
      <c r="J116" s="14">
        <v>100.0010000000000048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108</v>
      </c>
      <c r="B117" s="5" t="s">
        <v>109</v>
      </c>
      <c r="C117" s="5" t="s">
        <v>63</v>
      </c>
      <c r="D117" s="7">
        <v>1000.0</v>
      </c>
      <c r="E117" s="9">
        <v>0.21</v>
      </c>
      <c r="F117" s="11" t="s">
        <v>110</v>
      </c>
      <c r="G117" s="11" t="s">
        <v>111</v>
      </c>
      <c r="H117" s="7">
        <v>116.0</v>
      </c>
      <c r="I117" s="13">
        <v>700</v>
      </c>
      <c r="J117" s="15">
        <v>100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112</v>
      </c>
      <c r="B118" s="4" t="s">
        <v>113</v>
      </c>
      <c r="C118" s="4" t="s">
        <v>63</v>
      </c>
      <c r="D118" s="6">
        <v>1000.0</v>
      </c>
      <c r="E118" s="8">
        <v>0.23</v>
      </c>
      <c r="F118" s="10" t="s">
        <v>114</v>
      </c>
      <c r="G118" s="10" t="s">
        <v>115</v>
      </c>
      <c r="H118" s="6">
        <v>127.89</v>
      </c>
      <c r="I118" s="12">
        <v>1054</v>
      </c>
      <c r="J118" s="14">
        <v>127.89</v>
      </c>
      <c r="K118" s="16">
        <f>yield(+WORKDAY(TODAY(),1,0),G118,E118,J118,100,2,1)</f>
      </c>
      <c r="L118" s="12">
        <v>482</v>
      </c>
      <c r="M118" s="14">
        <v>128</v>
      </c>
      <c r="N118" s="16">
        <f>yield(+WORKDAY(TODAY(),1,0),G118,E118,M118,100,2,1)</f>
      </c>
    </row>
    <row r="119" spans="1:14">
      <c r="A119" s="5" t="s">
        <v>112</v>
      </c>
      <c r="B119" s="5" t="s">
        <v>113</v>
      </c>
      <c r="C119" s="5" t="s">
        <v>63</v>
      </c>
      <c r="D119" s="7">
        <v>1000.0</v>
      </c>
      <c r="E119" s="9">
        <v>0.23</v>
      </c>
      <c r="F119" s="11" t="s">
        <v>114</v>
      </c>
      <c r="G119" s="11" t="s">
        <v>115</v>
      </c>
      <c r="H119" s="7">
        <v>127.89</v>
      </c>
      <c r="I119" s="13">
        <v>100</v>
      </c>
      <c r="J119" s="15">
        <v>126</v>
      </c>
      <c r="K119" s="17">
        <f>yield(+WORKDAY(TODAY(),1,0),G119,E119,J119,100,2,1)</f>
      </c>
      <c r="L119" s="13">
        <v>1565</v>
      </c>
      <c r="M119" s="15">
        <v>129</v>
      </c>
      <c r="N119" s="17">
        <f>yield(+WORKDAY(TODAY(),1,0),G119,E119,M119,100,2,1)</f>
      </c>
    </row>
    <row r="120" spans="1:14">
      <c r="A120" s="4" t="s">
        <v>112</v>
      </c>
      <c r="B120" s="4" t="s">
        <v>113</v>
      </c>
      <c r="C120" s="4" t="s">
        <v>63</v>
      </c>
      <c r="D120" s="6">
        <v>1000.0</v>
      </c>
      <c r="E120" s="8">
        <v>0.23</v>
      </c>
      <c r="F120" s="10" t="s">
        <v>114</v>
      </c>
      <c r="G120" s="10" t="s">
        <v>115</v>
      </c>
      <c r="H120" s="6">
        <v>127.89</v>
      </c>
      <c r="I120" s="12">
        <v>1500</v>
      </c>
      <c r="J120" s="14">
        <v>110.0010000000000048</v>
      </c>
      <c r="K120" s="16">
        <f>yield(+WORKDAY(TODAY(),1,0),G120,E120,J120,100,2,1)</f>
      </c>
      <c r="L120" s="12">
        <v>19515</v>
      </c>
      <c r="M120" s="14">
        <v>129.99000000000001</v>
      </c>
      <c r="N120" s="16">
        <f>yield(+WORKDAY(TODAY(),1,0),G120,E120,M120,100,2,1)</f>
      </c>
    </row>
    <row r="121" spans="1:14">
      <c r="A121" s="5" t="s">
        <v>112</v>
      </c>
      <c r="B121" s="5" t="s">
        <v>113</v>
      </c>
      <c r="C121" s="5" t="s">
        <v>63</v>
      </c>
      <c r="D121" s="7">
        <v>1000.0</v>
      </c>
      <c r="E121" s="9">
        <v>0.23</v>
      </c>
      <c r="F121" s="11" t="s">
        <v>114</v>
      </c>
      <c r="G121" s="11" t="s">
        <v>115</v>
      </c>
      <c r="H121" s="7">
        <v>127.89</v>
      </c>
      <c r="I121" s="13">
        <v>8870</v>
      </c>
      <c r="J121" s="15">
        <v>110</v>
      </c>
      <c r="K121" s="17">
        <f>yield(+WORKDAY(TODAY(),1,0),G121,E121,J121,100,2,1)</f>
      </c>
      <c r="L121" s="13">
        <v>14737</v>
      </c>
      <c r="M121" s="15">
        <v>130</v>
      </c>
      <c r="N121" s="17">
        <f>yield(+WORKDAY(TODAY(),1,0),G121,E121,M121,100,2,1)</f>
      </c>
    </row>
    <row r="122" spans="1:14">
      <c r="A122" s="4" t="s">
        <v>112</v>
      </c>
      <c r="B122" s="4" t="s">
        <v>113</v>
      </c>
      <c r="C122" s="4" t="s">
        <v>63</v>
      </c>
      <c r="D122" s="6">
        <v>1000.0</v>
      </c>
      <c r="E122" s="8">
        <v>0.23</v>
      </c>
      <c r="F122" s="10" t="s">
        <v>114</v>
      </c>
      <c r="G122" s="10" t="s">
        <v>115</v>
      </c>
      <c r="H122" s="6">
        <v>127.89</v>
      </c>
      <c r="I122" s="12">
        <v>279400</v>
      </c>
      <c r="J122" s="14">
        <v>108</v>
      </c>
      <c r="K122" s="16">
        <f>yield(+WORKDAY(TODAY(),1,0),G122,E122,J122,100,2,1)</f>
      </c>
      <c r="L122" s="12">
        <v>651</v>
      </c>
      <c r="M122" s="14">
        <v>134</v>
      </c>
      <c r="N122" s="16">
        <f>yield(+WORKDAY(TODAY(),1,0),G122,E122,M122,100,2,1)</f>
      </c>
    </row>
    <row r="123" spans="1:14">
      <c r="A123" s="5" t="s">
        <v>112</v>
      </c>
      <c r="B123" s="5" t="s">
        <v>113</v>
      </c>
      <c r="C123" s="5" t="s">
        <v>63</v>
      </c>
      <c r="D123" s="7">
        <v>1000.0</v>
      </c>
      <c r="E123" s="9">
        <v>0.23</v>
      </c>
      <c r="F123" s="11" t="s">
        <v>114</v>
      </c>
      <c r="G123" s="11" t="s">
        <v>115</v>
      </c>
      <c r="H123" s="7">
        <v>127.89</v>
      </c>
      <c r="I123" s="13">
        <v>10120</v>
      </c>
      <c r="J123" s="15">
        <v>104</v>
      </c>
      <c r="K123" s="17">
        <f>yield(+WORKDAY(TODAY(),1,0),G123,E123,J123,100,2,1)</f>
      </c>
      <c r="L123" s="13">
        <v>2611</v>
      </c>
      <c r="M123" s="15">
        <v>135</v>
      </c>
      <c r="N123" s="17">
        <f>yield(+WORKDAY(TODAY(),1,0),G123,E123,M123,100,2,1)</f>
      </c>
    </row>
    <row r="124" spans="1:14">
      <c r="A124" s="4" t="s">
        <v>112</v>
      </c>
      <c r="B124" s="4" t="s">
        <v>113</v>
      </c>
      <c r="C124" s="4" t="s">
        <v>63</v>
      </c>
      <c r="D124" s="6">
        <v>1000.0</v>
      </c>
      <c r="E124" s="8">
        <v>0.23</v>
      </c>
      <c r="F124" s="10" t="s">
        <v>114</v>
      </c>
      <c r="G124" s="10" t="s">
        <v>115</v>
      </c>
      <c r="H124" s="6">
        <v>127.89</v>
      </c>
      <c r="I124" s="12">
        <v>38982</v>
      </c>
      <c r="J124" s="14">
        <v>100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116</v>
      </c>
      <c r="B125" s="5" t="s">
        <v>117</v>
      </c>
      <c r="C125" s="5" t="s">
        <v>63</v>
      </c>
      <c r="D125" s="7">
        <v>1000.0</v>
      </c>
      <c r="E125" s="9">
        <v>0.173</v>
      </c>
      <c r="F125" s="11" t="s">
        <v>118</v>
      </c>
      <c r="G125" s="11" t="s">
        <v>119</v>
      </c>
      <c r="H125" s="7">
        <v>102.85899999999999</v>
      </c>
      <c r="I125" s="13">
        <v>100</v>
      </c>
      <c r="J125" s="15">
        <v>100.099999999999994</v>
      </c>
      <c r="K125" s="17">
        <f>yield(+WORKDAY(TODAY(),1,0),G125,E125,J125,100,2,1)</f>
      </c>
      <c r="L125" s="13">
        <v>3894531</v>
      </c>
      <c r="M125" s="15">
        <v>100.89</v>
      </c>
      <c r="N125" s="17">
        <f>yield(+WORKDAY(TODAY(),1,0),G125,E125,M125,100,2,1)</f>
      </c>
    </row>
    <row r="126" spans="1:14">
      <c r="A126" s="4" t="s">
        <v>116</v>
      </c>
      <c r="B126" s="4" t="s">
        <v>117</v>
      </c>
      <c r="C126" s="4" t="s">
        <v>63</v>
      </c>
      <c r="D126" s="6">
        <v>1000.0</v>
      </c>
      <c r="E126" s="8">
        <v>0.173</v>
      </c>
      <c r="F126" s="10" t="s">
        <v>118</v>
      </c>
      <c r="G126" s="10" t="s">
        <v>119</v>
      </c>
      <c r="H126" s="6">
        <v>102.85899999999999</v>
      </c>
      <c r="I126" s="12">
        <v>10000</v>
      </c>
      <c r="J126" s="14">
        <v>100</v>
      </c>
      <c r="K126" s="16">
        <f>yield(+WORKDAY(TODAY(),1,0),G126,E126,J126,100,2,1)</f>
      </c>
      <c r="L126" s="12">
        <v>651571</v>
      </c>
      <c r="M126" s="14">
        <v>102.907</v>
      </c>
      <c r="N126" s="16">
        <f>yield(+WORKDAY(TODAY(),1,0),G126,E126,M126,100,2,1)</f>
      </c>
    </row>
    <row r="127" spans="1:14">
      <c r="A127" s="5" t="s">
        <v>116</v>
      </c>
      <c r="B127" s="5" t="s">
        <v>117</v>
      </c>
      <c r="C127" s="5" t="s">
        <v>63</v>
      </c>
      <c r="D127" s="7">
        <v>1000.0</v>
      </c>
      <c r="E127" s="9">
        <v>0.173</v>
      </c>
      <c r="F127" s="11" t="s">
        <v>118</v>
      </c>
      <c r="G127" s="11" t="s">
        <v>119</v>
      </c>
      <c r="H127" s="7">
        <v>102.85899999999999</v>
      </c>
      <c r="I127" s="13" t="s">
        <v>18</v>
      </c>
      <c r="J127" s="15" t="s">
        <v>18</v>
      </c>
      <c r="K127" s="17" t="s">
        <v>18</v>
      </c>
      <c r="L127" s="13">
        <v>131740</v>
      </c>
      <c r="M127" s="15">
        <v>103</v>
      </c>
      <c r="N127" s="17">
        <f>yield(+WORKDAY(TODAY(),1,0),G127,E127,M127,100,2,1)</f>
      </c>
    </row>
    <row r="128" spans="1:14">
      <c r="A128" s="4" t="s">
        <v>116</v>
      </c>
      <c r="B128" s="4" t="s">
        <v>117</v>
      </c>
      <c r="C128" s="4" t="s">
        <v>63</v>
      </c>
      <c r="D128" s="6">
        <v>1000.0</v>
      </c>
      <c r="E128" s="8">
        <v>0.173</v>
      </c>
      <c r="F128" s="10" t="s">
        <v>118</v>
      </c>
      <c r="G128" s="10" t="s">
        <v>119</v>
      </c>
      <c r="H128" s="6">
        <v>102.85899999999999</v>
      </c>
      <c r="I128" s="12" t="s">
        <v>18</v>
      </c>
      <c r="J128" s="14" t="s">
        <v>18</v>
      </c>
      <c r="K128" s="16" t="s">
        <v>18</v>
      </c>
      <c r="L128" s="12">
        <v>2600</v>
      </c>
      <c r="M128" s="14">
        <v>110</v>
      </c>
      <c r="N128" s="16">
        <f>yield(+WORKDAY(TODAY(),1,0),G128,E128,M128,100,2,1)</f>
      </c>
    </row>
    <row r="129" spans="1:14">
      <c r="A129" s="5" t="s">
        <v>120</v>
      </c>
      <c r="B129" s="5" t="s">
        <v>121</v>
      </c>
      <c r="C129" s="5" t="s">
        <v>63</v>
      </c>
      <c r="D129" s="7">
        <v>1000.0</v>
      </c>
      <c r="E129" s="9">
        <v>0.1915</v>
      </c>
      <c r="F129" s="11" t="s">
        <v>122</v>
      </c>
      <c r="G129" s="11" t="s">
        <v>123</v>
      </c>
      <c r="H129" s="7">
        <v>108.75</v>
      </c>
      <c r="I129" s="13">
        <v>22</v>
      </c>
      <c r="J129" s="15">
        <v>108</v>
      </c>
      <c r="K129" s="17">
        <f>yield(+WORKDAY(TODAY(),1,0),G129,E129,J129,100,2,1)</f>
      </c>
      <c r="L129" s="13">
        <v>8920</v>
      </c>
      <c r="M129" s="15">
        <v>108.75</v>
      </c>
      <c r="N129" s="17">
        <f>yield(+WORKDAY(TODAY(),1,0),G129,E129,M129,100,2,1)</f>
      </c>
    </row>
    <row r="130" spans="1:14">
      <c r="A130" s="4" t="s">
        <v>120</v>
      </c>
      <c r="B130" s="4" t="s">
        <v>121</v>
      </c>
      <c r="C130" s="4" t="s">
        <v>63</v>
      </c>
      <c r="D130" s="6">
        <v>1000.0</v>
      </c>
      <c r="E130" s="8">
        <v>0.1915</v>
      </c>
      <c r="F130" s="10" t="s">
        <v>122</v>
      </c>
      <c r="G130" s="10" t="s">
        <v>123</v>
      </c>
      <c r="H130" s="6">
        <v>108.75</v>
      </c>
      <c r="I130" s="12">
        <v>210</v>
      </c>
      <c r="J130" s="14">
        <v>103.5</v>
      </c>
      <c r="K130" s="16">
        <f>yield(+WORKDAY(TODAY(),1,0),G130,E130,J130,100,2,1)</f>
      </c>
      <c r="L130" s="12">
        <v>178102</v>
      </c>
      <c r="M130" s="14">
        <v>108.8</v>
      </c>
      <c r="N130" s="16">
        <f>yield(+WORKDAY(TODAY(),1,0),G130,E130,M130,100,2,1)</f>
      </c>
    </row>
    <row r="131" spans="1:14">
      <c r="A131" s="5" t="s">
        <v>120</v>
      </c>
      <c r="B131" s="5" t="s">
        <v>121</v>
      </c>
      <c r="C131" s="5" t="s">
        <v>63</v>
      </c>
      <c r="D131" s="7">
        <v>1000.0</v>
      </c>
      <c r="E131" s="9">
        <v>0.1915</v>
      </c>
      <c r="F131" s="11" t="s">
        <v>122</v>
      </c>
      <c r="G131" s="11" t="s">
        <v>123</v>
      </c>
      <c r="H131" s="7">
        <v>108.75</v>
      </c>
      <c r="I131" s="13">
        <v>1000</v>
      </c>
      <c r="J131" s="15">
        <v>100</v>
      </c>
      <c r="K131" s="17">
        <f>yield(+WORKDAY(TODAY(),1,0),G131,E131,J131,100,2,1)</f>
      </c>
      <c r="L131" s="13">
        <v>6787</v>
      </c>
      <c r="M131" s="15">
        <v>109</v>
      </c>
      <c r="N131" s="17">
        <f>yield(+WORKDAY(TODAY(),1,0),G131,E131,M131,100,2,1)</f>
      </c>
    </row>
    <row r="132" spans="1:14">
      <c r="A132" s="4" t="s">
        <v>124</v>
      </c>
      <c r="B132" s="4" t="s">
        <v>125</v>
      </c>
      <c r="C132" s="4" t="s">
        <v>63</v>
      </c>
      <c r="D132" s="6">
        <v>1000.0</v>
      </c>
      <c r="E132" s="8">
        <v>0.16</v>
      </c>
      <c r="F132" s="10" t="s">
        <v>126</v>
      </c>
      <c r="G132" s="10" t="s">
        <v>127</v>
      </c>
      <c r="H132" s="6">
        <v>95.5</v>
      </c>
      <c r="I132" s="12">
        <v>109378</v>
      </c>
      <c r="J132" s="14">
        <v>95.099999999999994</v>
      </c>
      <c r="K132" s="16">
        <f>yield(+WORKDAY(TODAY(),1,0),G132,E132,J132,100,2,1)</f>
      </c>
      <c r="L132" s="12">
        <v>109378</v>
      </c>
      <c r="M132" s="14">
        <v>95.5</v>
      </c>
      <c r="N132" s="16">
        <f>yield(+WORKDAY(TODAY(),1,0),G132,E132,M132,100,2,1)</f>
      </c>
    </row>
    <row r="133" spans="1:14">
      <c r="A133" s="5" t="s">
        <v>128</v>
      </c>
      <c r="B133" s="5" t="s">
        <v>129</v>
      </c>
      <c r="C133" s="5" t="s">
        <v>63</v>
      </c>
      <c r="D133" s="7">
        <v>1000.0</v>
      </c>
      <c r="E133" s="9">
        <v>0.1</v>
      </c>
      <c r="F133" s="11" t="s">
        <v>130</v>
      </c>
      <c r="G133" s="11" t="s">
        <v>131</v>
      </c>
      <c r="H133" s="7">
        <v>80.0</v>
      </c>
      <c r="I133" s="13">
        <v>313</v>
      </c>
      <c r="J133" s="15">
        <v>81.61</v>
      </c>
      <c r="K133" s="17">
        <f>yield(+WORKDAY(TODAY(),1,0),G133,E133,J133,100,2,1)</f>
      </c>
      <c r="L133" s="13">
        <v>6002</v>
      </c>
      <c r="M133" s="15">
        <v>85</v>
      </c>
      <c r="N133" s="17">
        <f>yield(+WORKDAY(TODAY(),1,0),G133,E133,M133,100,2,1)</f>
      </c>
    </row>
    <row r="134" spans="1:14">
      <c r="A134" s="4" t="s">
        <v>132</v>
      </c>
      <c r="B134" s="4" t="s">
        <v>133</v>
      </c>
      <c r="C134" s="4" t="s">
        <v>63</v>
      </c>
      <c r="D134" s="6">
        <v>1000.0</v>
      </c>
      <c r="E134" s="8">
        <v>0.15</v>
      </c>
      <c r="F134" s="10" t="s">
        <v>134</v>
      </c>
      <c r="G134" s="10" t="s">
        <v>135</v>
      </c>
      <c r="H134" s="6">
        <v>100.0</v>
      </c>
      <c r="I134" s="12" t="s">
        <v>18</v>
      </c>
      <c r="J134" s="14" t="s">
        <v>18</v>
      </c>
      <c r="K134" s="16" t="s">
        <v>18</v>
      </c>
      <c r="L134" s="12">
        <v>13185</v>
      </c>
      <c r="M134" s="14">
        <v>100</v>
      </c>
      <c r="N134" s="16">
        <f>yield(+WORKDAY(TODAY(),1,0),G134,E134,M134,100,2,1)</f>
      </c>
    </row>
    <row r="135" spans="1:14">
      <c r="A135" s="5" t="s">
        <v>132</v>
      </c>
      <c r="B135" s="5" t="s">
        <v>133</v>
      </c>
      <c r="C135" s="5" t="s">
        <v>63</v>
      </c>
      <c r="D135" s="7">
        <v>1000.0</v>
      </c>
      <c r="E135" s="9">
        <v>0.15</v>
      </c>
      <c r="F135" s="11" t="s">
        <v>134</v>
      </c>
      <c r="G135" s="11" t="s">
        <v>135</v>
      </c>
      <c r="H135" s="7">
        <v>100.0</v>
      </c>
      <c r="I135" s="13" t="s">
        <v>18</v>
      </c>
      <c r="J135" s="15" t="s">
        <v>18</v>
      </c>
      <c r="K135" s="17" t="s">
        <v>18</v>
      </c>
      <c r="L135" s="13">
        <v>1016570</v>
      </c>
      <c r="M135" s="15">
        <v>100.73399999999999</v>
      </c>
      <c r="N135" s="17">
        <f>yield(+WORKDAY(TODAY(),1,0),G135,E135,M135,100,2,1)</f>
      </c>
    </row>
    <row r="136" spans="1:14">
      <c r="A136" s="4" t="s">
        <v>132</v>
      </c>
      <c r="B136" s="4" t="s">
        <v>133</v>
      </c>
      <c r="C136" s="4" t="s">
        <v>63</v>
      </c>
      <c r="D136" s="6">
        <v>1000.0</v>
      </c>
      <c r="E136" s="8">
        <v>0.15</v>
      </c>
      <c r="F136" s="10" t="s">
        <v>134</v>
      </c>
      <c r="G136" s="10" t="s">
        <v>135</v>
      </c>
      <c r="H136" s="6">
        <v>100.0</v>
      </c>
      <c r="I136" s="12" t="s">
        <v>18</v>
      </c>
      <c r="J136" s="14" t="s">
        <v>18</v>
      </c>
      <c r="K136" s="16" t="s">
        <v>18</v>
      </c>
      <c r="L136" s="12">
        <v>267000</v>
      </c>
      <c r="M136" s="14">
        <v>101.5</v>
      </c>
      <c r="N136" s="16">
        <f>yield(+WORKDAY(TODAY(),1,0),G136,E136,M136,100,2,1)</f>
      </c>
    </row>
    <row r="137" spans="1:14">
      <c r="A137" s="5" t="s">
        <v>136</v>
      </c>
      <c r="B137" s="5" t="s">
        <v>137</v>
      </c>
      <c r="C137" s="5" t="s">
        <v>63</v>
      </c>
      <c r="D137" s="7">
        <v>1000.0</v>
      </c>
      <c r="E137" s="9">
        <v>0.15</v>
      </c>
      <c r="F137" s="11" t="s">
        <v>138</v>
      </c>
      <c r="G137" s="11" t="s">
        <v>139</v>
      </c>
      <c r="H137" s="7">
        <v>100.453</v>
      </c>
      <c r="I137" s="13" t="s">
        <v>18</v>
      </c>
      <c r="J137" s="15" t="s">
        <v>18</v>
      </c>
      <c r="K137" s="17" t="s">
        <v>18</v>
      </c>
      <c r="L137" s="13">
        <v>1578527</v>
      </c>
      <c r="M137" s="15">
        <v>101.061999999999998</v>
      </c>
      <c r="N137" s="17">
        <f>yield(+WORKDAY(TODAY(),1,0),G137,E137,M137,100,2,1)</f>
      </c>
    </row>
    <row r="138" spans="1:14">
      <c r="A138" s="4" t="s">
        <v>140</v>
      </c>
      <c r="B138" s="4" t="s">
        <v>141</v>
      </c>
      <c r="C138" s="4" t="s">
        <v>63</v>
      </c>
      <c r="D138" s="6">
        <v>1000.0</v>
      </c>
      <c r="E138" s="8">
        <v>0.1675</v>
      </c>
      <c r="F138" s="10" t="s">
        <v>130</v>
      </c>
      <c r="G138" s="10" t="s">
        <v>142</v>
      </c>
      <c r="H138" s="6">
        <v>102.932</v>
      </c>
      <c r="I138" s="12" t="s">
        <v>18</v>
      </c>
      <c r="J138" s="14" t="s">
        <v>18</v>
      </c>
      <c r="K138" s="16" t="s">
        <v>18</v>
      </c>
      <c r="L138" s="12">
        <v>25557</v>
      </c>
      <c r="M138" s="14">
        <v>102.61799999999999</v>
      </c>
      <c r="N138" s="16">
        <f>yield(+WORKDAY(TODAY(),1,0),G138,E138,M138,100,2,1)</f>
      </c>
    </row>
    <row r="139" spans="1:14">
      <c r="A139" s="5" t="s">
        <v>143</v>
      </c>
      <c r="B139" s="5" t="s">
        <v>144</v>
      </c>
      <c r="C139" s="5" t="s">
        <v>63</v>
      </c>
      <c r="D139" s="7">
        <v>1000.0</v>
      </c>
      <c r="E139" s="9">
        <v>0.1675</v>
      </c>
      <c r="F139" s="11" t="s">
        <v>145</v>
      </c>
      <c r="G139" s="11" t="s">
        <v>146</v>
      </c>
      <c r="H139" s="7">
        <v>96.5</v>
      </c>
      <c r="I139" s="13">
        <v>277890</v>
      </c>
      <c r="J139" s="15">
        <v>96.5</v>
      </c>
      <c r="K139" s="17">
        <f>yield(+WORKDAY(TODAY(),1,0),G139,E139,J139,100,2,1)</f>
      </c>
      <c r="L139" s="13">
        <v>49</v>
      </c>
      <c r="M139" s="15">
        <v>99</v>
      </c>
      <c r="N139" s="17">
        <f>yield(+WORKDAY(TODAY(),1,0),G139,E139,M139,100,2,1)</f>
      </c>
    </row>
    <row r="140" spans="1:14">
      <c r="A140" s="4" t="s">
        <v>143</v>
      </c>
      <c r="B140" s="4" t="s">
        <v>144</v>
      </c>
      <c r="C140" s="4" t="s">
        <v>63</v>
      </c>
      <c r="D140" s="6">
        <v>1000.0</v>
      </c>
      <c r="E140" s="8">
        <v>0.1675</v>
      </c>
      <c r="F140" s="10" t="s">
        <v>145</v>
      </c>
      <c r="G140" s="10" t="s">
        <v>146</v>
      </c>
      <c r="H140" s="6">
        <v>96.5</v>
      </c>
      <c r="I140" s="12">
        <v>2700</v>
      </c>
      <c r="J140" s="14">
        <v>93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147</v>
      </c>
      <c r="B141" s="5" t="s">
        <v>148</v>
      </c>
      <c r="C141" s="5" t="s">
        <v>63</v>
      </c>
      <c r="D141" s="7">
        <v>1000.0</v>
      </c>
      <c r="E141" s="9">
        <v>0.17</v>
      </c>
      <c r="F141" s="11" t="s">
        <v>149</v>
      </c>
      <c r="G141" s="11" t="s">
        <v>150</v>
      </c>
      <c r="H141" s="7">
        <v>97.0</v>
      </c>
      <c r="I141" s="13">
        <v>2019</v>
      </c>
      <c r="J141" s="15">
        <v>97</v>
      </c>
      <c r="K141" s="17">
        <f>yield(+WORKDAY(TODAY(),1,0),G141,E141,J141,100,2,1)</f>
      </c>
      <c r="L141" s="13">
        <v>5657</v>
      </c>
      <c r="M141" s="15">
        <v>98.5</v>
      </c>
      <c r="N141" s="17">
        <f>yield(+WORKDAY(TODAY(),1,0),G141,E141,M141,100,2,1)</f>
      </c>
    </row>
    <row r="142" spans="1:14">
      <c r="A142" s="4" t="s">
        <v>147</v>
      </c>
      <c r="B142" s="4" t="s">
        <v>148</v>
      </c>
      <c r="C142" s="4" t="s">
        <v>63</v>
      </c>
      <c r="D142" s="6">
        <v>1000.0</v>
      </c>
      <c r="E142" s="8">
        <v>0.17</v>
      </c>
      <c r="F142" s="10" t="s">
        <v>149</v>
      </c>
      <c r="G142" s="10" t="s">
        <v>150</v>
      </c>
      <c r="H142" s="6">
        <v>97.0</v>
      </c>
      <c r="I142" s="12">
        <v>222</v>
      </c>
      <c r="J142" s="14">
        <v>90.099999999999994</v>
      </c>
      <c r="K142" s="16">
        <f>yield(+WORKDAY(TODAY(),1,0),G142,E142,J142,100,2,1)</f>
      </c>
      <c r="L142" s="12">
        <v>1681</v>
      </c>
      <c r="M142" s="14">
        <v>100</v>
      </c>
      <c r="N142" s="16">
        <f>yield(+WORKDAY(TODAY(),1,0),G142,E142,M142,100,2,1)</f>
      </c>
    </row>
    <row r="143" spans="1:14">
      <c r="A143" s="5" t="s">
        <v>151</v>
      </c>
      <c r="B143" s="5" t="s">
        <v>152</v>
      </c>
      <c r="C143" s="5" t="s">
        <v>63</v>
      </c>
      <c r="D143" s="7">
        <v>1000.0</v>
      </c>
      <c r="E143" s="9">
        <v>0.17</v>
      </c>
      <c r="F143" s="11" t="s">
        <v>153</v>
      </c>
      <c r="G143" s="11" t="s">
        <v>154</v>
      </c>
      <c r="H143" s="7">
        <v>97.5</v>
      </c>
      <c r="I143" s="13">
        <v>40</v>
      </c>
      <c r="J143" s="15">
        <v>97.5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151</v>
      </c>
      <c r="B144" s="4" t="s">
        <v>152</v>
      </c>
      <c r="C144" s="4" t="s">
        <v>63</v>
      </c>
      <c r="D144" s="6">
        <v>1000.0</v>
      </c>
      <c r="E144" s="8">
        <v>0.17</v>
      </c>
      <c r="F144" s="10" t="s">
        <v>153</v>
      </c>
      <c r="G144" s="10" t="s">
        <v>154</v>
      </c>
      <c r="H144" s="6">
        <v>97.5</v>
      </c>
      <c r="I144" s="12">
        <v>5</v>
      </c>
      <c r="J144" s="14">
        <v>97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155</v>
      </c>
      <c r="B145" s="5" t="s">
        <v>156</v>
      </c>
      <c r="C145" s="5" t="s">
        <v>63</v>
      </c>
      <c r="D145" s="7">
        <v>1000.0</v>
      </c>
      <c r="E145" s="9">
        <v>0.17</v>
      </c>
      <c r="F145" s="11" t="s">
        <v>157</v>
      </c>
      <c r="G145" s="11" t="s">
        <v>158</v>
      </c>
      <c r="H145" s="7">
        <v>98.5</v>
      </c>
      <c r="I145" s="13" t="s">
        <v>18</v>
      </c>
      <c r="J145" s="15" t="s">
        <v>18</v>
      </c>
      <c r="K145" s="17" t="s">
        <v>18</v>
      </c>
      <c r="L145" s="13">
        <v>24879</v>
      </c>
      <c r="M145" s="15">
        <v>98.5</v>
      </c>
      <c r="N145" s="17">
        <f>yield(+WORKDAY(TODAY(),1,0),G145,E145,M145,100,2,1)</f>
      </c>
    </row>
    <row r="146" spans="1:14">
      <c r="A146" s="4" t="s">
        <v>159</v>
      </c>
      <c r="B146" s="4" t="s">
        <v>160</v>
      </c>
      <c r="C146" s="4" t="s">
        <v>63</v>
      </c>
      <c r="D146" s="6">
        <v>1000.0</v>
      </c>
      <c r="E146" s="8">
        <v>0.17</v>
      </c>
      <c r="F146" s="10" t="s">
        <v>161</v>
      </c>
      <c r="G146" s="10" t="s">
        <v>162</v>
      </c>
      <c r="H146" s="6">
        <v>97.98999999999999</v>
      </c>
      <c r="I146" s="12">
        <v>60</v>
      </c>
      <c r="J146" s="14">
        <v>97</v>
      </c>
      <c r="K146" s="16">
        <f>yield(+WORKDAY(TODAY(),1,0),G146,E146,J146,100,2,1)</f>
      </c>
      <c r="L146" s="12">
        <v>1848360</v>
      </c>
      <c r="M146" s="14">
        <v>97.98999999999999</v>
      </c>
      <c r="N146" s="16">
        <f>yield(+WORKDAY(TODAY(),1,0),G146,E146,M146,100,2,1)</f>
      </c>
    </row>
    <row r="147" spans="1:14">
      <c r="A147" s="5" t="s">
        <v>159</v>
      </c>
      <c r="B147" s="5" t="s">
        <v>160</v>
      </c>
      <c r="C147" s="5" t="s">
        <v>63</v>
      </c>
      <c r="D147" s="7">
        <v>1000.0</v>
      </c>
      <c r="E147" s="9">
        <v>0.17</v>
      </c>
      <c r="F147" s="11" t="s">
        <v>161</v>
      </c>
      <c r="G147" s="11" t="s">
        <v>162</v>
      </c>
      <c r="H147" s="7">
        <v>97.98999999999999</v>
      </c>
      <c r="I147" s="13" t="s">
        <v>18</v>
      </c>
      <c r="J147" s="15" t="s">
        <v>18</v>
      </c>
      <c r="K147" s="17" t="s">
        <v>18</v>
      </c>
      <c r="L147" s="13">
        <v>32859</v>
      </c>
      <c r="M147" s="15">
        <v>98</v>
      </c>
      <c r="N147" s="17">
        <f>yield(+WORKDAY(TODAY(),1,0),G147,E147,M147,100,2,1)</f>
      </c>
    </row>
    <row r="148" spans="1:14">
      <c r="A148" s="4" t="s">
        <v>159</v>
      </c>
      <c r="B148" s="4" t="s">
        <v>160</v>
      </c>
      <c r="C148" s="4" t="s">
        <v>63</v>
      </c>
      <c r="D148" s="6">
        <v>1000.0</v>
      </c>
      <c r="E148" s="8">
        <v>0.17</v>
      </c>
      <c r="F148" s="10" t="s">
        <v>161</v>
      </c>
      <c r="G148" s="10" t="s">
        <v>162</v>
      </c>
      <c r="H148" s="6">
        <v>97.98999999999999</v>
      </c>
      <c r="I148" s="12" t="s">
        <v>18</v>
      </c>
      <c r="J148" s="14" t="s">
        <v>18</v>
      </c>
      <c r="K148" s="16" t="s">
        <v>18</v>
      </c>
      <c r="L148" s="12">
        <v>3846</v>
      </c>
      <c r="M148" s="14">
        <v>98.5</v>
      </c>
      <c r="N148" s="16">
        <f>yield(+WORKDAY(TODAY(),1,0),G148,E148,M148,100,2,1)</f>
      </c>
    </row>
    <row r="149" spans="1:14">
      <c r="A149" s="5" t="s">
        <v>163</v>
      </c>
      <c r="B149" s="5" t="s">
        <v>164</v>
      </c>
      <c r="C149" s="5" t="s">
        <v>63</v>
      </c>
      <c r="D149" s="7">
        <v>1000.0</v>
      </c>
      <c r="E149" s="9">
        <v>0.1725</v>
      </c>
      <c r="F149" s="11" t="s">
        <v>165</v>
      </c>
      <c r="G149" s="11" t="s">
        <v>166</v>
      </c>
      <c r="H149" s="7">
        <v>98.5</v>
      </c>
      <c r="I149" s="13">
        <v>1741311</v>
      </c>
      <c r="J149" s="15">
        <v>90.72499999999999</v>
      </c>
      <c r="K149" s="17">
        <f>yield(+WORKDAY(TODAY(),1,0),G149,E149,J149,100,2,1)</f>
      </c>
      <c r="L149" s="13">
        <v>1741311</v>
      </c>
      <c r="M149" s="15">
        <v>98.5</v>
      </c>
      <c r="N149" s="17">
        <f>yield(+WORKDAY(TODAY(),1,0),G149,E149,M149,100,2,1)</f>
      </c>
    </row>
    <row r="150" spans="1:14">
      <c r="A150" s="4" t="s">
        <v>167</v>
      </c>
      <c r="B150" s="4" t="s">
        <v>168</v>
      </c>
      <c r="C150" s="4" t="s">
        <v>63</v>
      </c>
      <c r="D150" s="6">
        <v>1000.0</v>
      </c>
      <c r="E150" s="8">
        <v>0.1675</v>
      </c>
      <c r="F150" s="10" t="s">
        <v>157</v>
      </c>
      <c r="G150" s="10" t="s">
        <v>169</v>
      </c>
      <c r="H150" s="6">
        <v>99.55</v>
      </c>
      <c r="I150" s="12">
        <v>832659</v>
      </c>
      <c r="J150" s="14">
        <v>96.438</v>
      </c>
      <c r="K150" s="16">
        <f>yield(+WORKDAY(TODAY(),1,0),G150,E150,J150,100,2,1)</f>
      </c>
      <c r="L150" s="12">
        <v>402912</v>
      </c>
      <c r="M150" s="14">
        <v>100</v>
      </c>
      <c r="N150" s="16">
        <f>yield(+WORKDAY(TODAY(),1,0),G150,E150,M150,100,2,1)</f>
      </c>
    </row>
    <row r="151" spans="1:14">
      <c r="A151" s="5" t="s">
        <v>167</v>
      </c>
      <c r="B151" s="5" t="s">
        <v>168</v>
      </c>
      <c r="C151" s="5" t="s">
        <v>63</v>
      </c>
      <c r="D151" s="7">
        <v>1000.0</v>
      </c>
      <c r="E151" s="9">
        <v>0.1675</v>
      </c>
      <c r="F151" s="11" t="s">
        <v>157</v>
      </c>
      <c r="G151" s="11" t="s">
        <v>169</v>
      </c>
      <c r="H151" s="7">
        <v>99.55</v>
      </c>
      <c r="I151" s="13" t="s">
        <v>18</v>
      </c>
      <c r="J151" s="15" t="s">
        <v>18</v>
      </c>
      <c r="K151" s="17" t="s">
        <v>18</v>
      </c>
      <c r="L151" s="13">
        <v>429747</v>
      </c>
      <c r="M151" s="15">
        <v>102.794</v>
      </c>
      <c r="N151" s="17">
        <f>yield(+WORKDAY(TODAY(),1,0),G151,E151,M151,100,2,1)</f>
      </c>
    </row>
    <row r="152" spans="1:14">
      <c r="A152" s="4" t="s">
        <v>170</v>
      </c>
      <c r="B152" s="4" t="s">
        <v>171</v>
      </c>
      <c r="C152" s="4" t="s">
        <v>63</v>
      </c>
      <c r="D152" s="6">
        <v>1000.0</v>
      </c>
      <c r="E152" s="8">
        <v>0.1725</v>
      </c>
      <c r="F152" s="10" t="s">
        <v>153</v>
      </c>
      <c r="G152" s="10" t="s">
        <v>154</v>
      </c>
      <c r="H152" s="6">
        <v>100.0</v>
      </c>
      <c r="I152" s="12">
        <v>3680</v>
      </c>
      <c r="J152" s="14">
        <v>100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172</v>
      </c>
      <c r="B153" s="5" t="s">
        <v>173</v>
      </c>
      <c r="C153" s="5" t="s">
        <v>63</v>
      </c>
      <c r="D153" s="7">
        <v>1000.0</v>
      </c>
      <c r="E153" s="9">
        <v>0.1725</v>
      </c>
      <c r="F153" s="11" t="s">
        <v>174</v>
      </c>
      <c r="G153" s="11" t="s">
        <v>175</v>
      </c>
      <c r="H153" s="7">
        <v>95.0</v>
      </c>
      <c r="I153" s="13">
        <v>4044</v>
      </c>
      <c r="J153" s="15">
        <v>95</v>
      </c>
      <c r="K153" s="17">
        <f>yield(+WORKDAY(TODAY(),1,0),G153,E153,J153,100,2,1)</f>
      </c>
      <c r="L153" s="13">
        <v>6482</v>
      </c>
      <c r="M153" s="15">
        <v>97</v>
      </c>
      <c r="N153" s="17">
        <f>yield(+WORKDAY(TODAY(),1,0),G153,E153,M153,100,2,1)</f>
      </c>
    </row>
    <row r="154" spans="1:14">
      <c r="A154" s="4" t="s">
        <v>172</v>
      </c>
      <c r="B154" s="4" t="s">
        <v>173</v>
      </c>
      <c r="C154" s="4" t="s">
        <v>63</v>
      </c>
      <c r="D154" s="6">
        <v>1000.0</v>
      </c>
      <c r="E154" s="8">
        <v>0.1725</v>
      </c>
      <c r="F154" s="10" t="s">
        <v>174</v>
      </c>
      <c r="G154" s="10" t="s">
        <v>175</v>
      </c>
      <c r="H154" s="6">
        <v>95.0</v>
      </c>
      <c r="I154" s="12" t="s">
        <v>18</v>
      </c>
      <c r="J154" s="14" t="s">
        <v>18</v>
      </c>
      <c r="K154" s="16" t="s">
        <v>18</v>
      </c>
      <c r="L154" s="12">
        <v>5</v>
      </c>
      <c r="M154" s="14">
        <v>98</v>
      </c>
      <c r="N154" s="16">
        <f>yield(+WORKDAY(TODAY(),1,0),G154,E154,M154,100,2,1)</f>
      </c>
    </row>
    <row r="155" spans="1:14">
      <c r="A155" s="5" t="s">
        <v>172</v>
      </c>
      <c r="B155" s="5" t="s">
        <v>173</v>
      </c>
      <c r="C155" s="5" t="s">
        <v>63</v>
      </c>
      <c r="D155" s="7">
        <v>1000.0</v>
      </c>
      <c r="E155" s="9">
        <v>0.1725</v>
      </c>
      <c r="F155" s="11" t="s">
        <v>174</v>
      </c>
      <c r="G155" s="11" t="s">
        <v>175</v>
      </c>
      <c r="H155" s="7">
        <v>95.0</v>
      </c>
      <c r="I155" s="13" t="s">
        <v>18</v>
      </c>
      <c r="J155" s="15" t="s">
        <v>18</v>
      </c>
      <c r="K155" s="17" t="s">
        <v>18</v>
      </c>
      <c r="L155" s="13">
        <v>200</v>
      </c>
      <c r="M155" s="15">
        <v>99.90000000000001</v>
      </c>
      <c r="N155" s="17">
        <f>yield(+WORKDAY(TODAY(),1,0),G155,E155,M155,100,2,1)</f>
      </c>
    </row>
    <row r="156" spans="1:14">
      <c r="A156" s="4" t="s">
        <v>172</v>
      </c>
      <c r="B156" s="4" t="s">
        <v>173</v>
      </c>
      <c r="C156" s="4" t="s">
        <v>63</v>
      </c>
      <c r="D156" s="6">
        <v>1000.0</v>
      </c>
      <c r="E156" s="8">
        <v>0.1725</v>
      </c>
      <c r="F156" s="10" t="s">
        <v>174</v>
      </c>
      <c r="G156" s="10" t="s">
        <v>175</v>
      </c>
      <c r="H156" s="6">
        <v>95.0</v>
      </c>
      <c r="I156" s="12" t="s">
        <v>18</v>
      </c>
      <c r="J156" s="14" t="s">
        <v>18</v>
      </c>
      <c r="K156" s="16" t="s">
        <v>18</v>
      </c>
      <c r="L156" s="12">
        <v>20000</v>
      </c>
      <c r="M156" s="14">
        <v>101</v>
      </c>
      <c r="N156" s="16">
        <f>yield(+WORKDAY(TODAY(),1,0),G156,E156,M156,100,2,1)</f>
      </c>
    </row>
    <row r="157" spans="1:14">
      <c r="A157" s="5" t="s">
        <v>172</v>
      </c>
      <c r="B157" s="5" t="s">
        <v>173</v>
      </c>
      <c r="C157" s="5" t="s">
        <v>63</v>
      </c>
      <c r="D157" s="7">
        <v>1000.0</v>
      </c>
      <c r="E157" s="9">
        <v>0.1725</v>
      </c>
      <c r="F157" s="11" t="s">
        <v>174</v>
      </c>
      <c r="G157" s="11" t="s">
        <v>175</v>
      </c>
      <c r="H157" s="7">
        <v>95.0</v>
      </c>
      <c r="I157" s="13" t="s">
        <v>18</v>
      </c>
      <c r="J157" s="15" t="s">
        <v>18</v>
      </c>
      <c r="K157" s="17" t="s">
        <v>18</v>
      </c>
      <c r="L157" s="13">
        <v>525</v>
      </c>
      <c r="M157" s="15">
        <v>102</v>
      </c>
      <c r="N157" s="17">
        <f>yield(+WORKDAY(TODAY(),1,0),G157,E157,M157,100,2,1)</f>
      </c>
    </row>
    <row r="158" spans="1:14">
      <c r="A158" s="4" t="s">
        <v>176</v>
      </c>
      <c r="B158" s="4" t="s">
        <v>177</v>
      </c>
      <c r="C158" s="4" t="s">
        <v>63</v>
      </c>
      <c r="D158" s="6">
        <v>1000.0</v>
      </c>
      <c r="E158" s="8">
        <v>0.1525</v>
      </c>
      <c r="F158" s="10" t="s">
        <v>178</v>
      </c>
      <c r="G158" s="10" t="s">
        <v>179</v>
      </c>
      <c r="H158" s="6">
        <v>89.0</v>
      </c>
      <c r="I158" s="12" t="s">
        <v>18</v>
      </c>
      <c r="J158" s="14" t="s">
        <v>18</v>
      </c>
      <c r="K158" s="16" t="s">
        <v>18</v>
      </c>
      <c r="L158" s="12">
        <v>300</v>
      </c>
      <c r="M158" s="14">
        <v>89</v>
      </c>
      <c r="N158" s="16">
        <f>yield(+WORKDAY(TODAY(),1,0),G158,E158,M158,100,2,1)</f>
      </c>
    </row>
    <row r="159" spans="1:14">
      <c r="A159" s="5" t="s">
        <v>176</v>
      </c>
      <c r="B159" s="5" t="s">
        <v>177</v>
      </c>
      <c r="C159" s="5" t="s">
        <v>63</v>
      </c>
      <c r="D159" s="7">
        <v>1000.0</v>
      </c>
      <c r="E159" s="9">
        <v>0.1525</v>
      </c>
      <c r="F159" s="11" t="s">
        <v>178</v>
      </c>
      <c r="G159" s="11" t="s">
        <v>179</v>
      </c>
      <c r="H159" s="7">
        <v>89.0</v>
      </c>
      <c r="I159" s="13" t="s">
        <v>18</v>
      </c>
      <c r="J159" s="15" t="s">
        <v>18</v>
      </c>
      <c r="K159" s="17" t="s">
        <v>18</v>
      </c>
      <c r="L159" s="13">
        <v>4702</v>
      </c>
      <c r="M159" s="15">
        <v>89.95</v>
      </c>
      <c r="N159" s="17">
        <f>yield(+WORKDAY(TODAY(),1,0),G159,E159,M159,100,2,1)</f>
      </c>
    </row>
    <row r="160" spans="1:14">
      <c r="A160" s="4" t="s">
        <v>176</v>
      </c>
      <c r="B160" s="4" t="s">
        <v>177</v>
      </c>
      <c r="C160" s="4" t="s">
        <v>63</v>
      </c>
      <c r="D160" s="6">
        <v>1000.0</v>
      </c>
      <c r="E160" s="8">
        <v>0.1525</v>
      </c>
      <c r="F160" s="10" t="s">
        <v>178</v>
      </c>
      <c r="G160" s="10" t="s">
        <v>179</v>
      </c>
      <c r="H160" s="6">
        <v>89.0</v>
      </c>
      <c r="I160" s="12" t="s">
        <v>18</v>
      </c>
      <c r="J160" s="14" t="s">
        <v>18</v>
      </c>
      <c r="K160" s="16" t="s">
        <v>18</v>
      </c>
      <c r="L160" s="12">
        <v>3455</v>
      </c>
      <c r="M160" s="14">
        <v>89.97</v>
      </c>
      <c r="N160" s="16">
        <f>yield(+WORKDAY(TODAY(),1,0),G160,E160,M160,100,2,1)</f>
      </c>
    </row>
    <row r="161" spans="1:14">
      <c r="A161" s="5" t="s">
        <v>176</v>
      </c>
      <c r="B161" s="5" t="s">
        <v>177</v>
      </c>
      <c r="C161" s="5" t="s">
        <v>63</v>
      </c>
      <c r="D161" s="7">
        <v>1000.0</v>
      </c>
      <c r="E161" s="9">
        <v>0.1525</v>
      </c>
      <c r="F161" s="11" t="s">
        <v>178</v>
      </c>
      <c r="G161" s="11" t="s">
        <v>179</v>
      </c>
      <c r="H161" s="7">
        <v>89.0</v>
      </c>
      <c r="I161" s="13" t="s">
        <v>18</v>
      </c>
      <c r="J161" s="15" t="s">
        <v>18</v>
      </c>
      <c r="K161" s="17" t="s">
        <v>18</v>
      </c>
      <c r="L161" s="13">
        <v>22000</v>
      </c>
      <c r="M161" s="15">
        <v>90.5</v>
      </c>
      <c r="N161" s="17">
        <f>yield(+WORKDAY(TODAY(),1,0),G161,E161,M161,100,2,1)</f>
      </c>
    </row>
    <row r="162" spans="1:14">
      <c r="A162" s="4" t="s">
        <v>176</v>
      </c>
      <c r="B162" s="4" t="s">
        <v>177</v>
      </c>
      <c r="C162" s="4" t="s">
        <v>63</v>
      </c>
      <c r="D162" s="6">
        <v>1000.0</v>
      </c>
      <c r="E162" s="8">
        <v>0.1525</v>
      </c>
      <c r="F162" s="10" t="s">
        <v>178</v>
      </c>
      <c r="G162" s="10" t="s">
        <v>179</v>
      </c>
      <c r="H162" s="6">
        <v>89.0</v>
      </c>
      <c r="I162" s="12" t="s">
        <v>18</v>
      </c>
      <c r="J162" s="14" t="s">
        <v>18</v>
      </c>
      <c r="K162" s="16" t="s">
        <v>18</v>
      </c>
      <c r="L162" s="12">
        <v>74579</v>
      </c>
      <c r="M162" s="14">
        <v>93.5</v>
      </c>
      <c r="N162" s="16">
        <f>yield(+WORKDAY(TODAY(),1,0),G162,E162,M162,100,2,1)</f>
      </c>
    </row>
    <row r="163" spans="1:14">
      <c r="A163" s="5" t="s">
        <v>176</v>
      </c>
      <c r="B163" s="5" t="s">
        <v>177</v>
      </c>
      <c r="C163" s="5" t="s">
        <v>63</v>
      </c>
      <c r="D163" s="7">
        <v>1000.0</v>
      </c>
      <c r="E163" s="9">
        <v>0.1525</v>
      </c>
      <c r="F163" s="11" t="s">
        <v>178</v>
      </c>
      <c r="G163" s="11" t="s">
        <v>179</v>
      </c>
      <c r="H163" s="7">
        <v>89.0</v>
      </c>
      <c r="I163" s="13" t="s">
        <v>18</v>
      </c>
      <c r="J163" s="15" t="s">
        <v>18</v>
      </c>
      <c r="K163" s="17" t="s">
        <v>18</v>
      </c>
      <c r="L163" s="13">
        <v>93</v>
      </c>
      <c r="M163" s="15">
        <v>95</v>
      </c>
      <c r="N163" s="17">
        <f>yield(+WORKDAY(TODAY(),1,0),G163,E163,M163,100,2,1)</f>
      </c>
    </row>
    <row r="164" spans="1:14">
      <c r="A164" s="4" t="s">
        <v>176</v>
      </c>
      <c r="B164" s="4" t="s">
        <v>177</v>
      </c>
      <c r="C164" s="4" t="s">
        <v>63</v>
      </c>
      <c r="D164" s="6">
        <v>1000.0</v>
      </c>
      <c r="E164" s="8">
        <v>0.1525</v>
      </c>
      <c r="F164" s="10" t="s">
        <v>178</v>
      </c>
      <c r="G164" s="10" t="s">
        <v>179</v>
      </c>
      <c r="H164" s="6">
        <v>89.0</v>
      </c>
      <c r="I164" s="12" t="s">
        <v>18</v>
      </c>
      <c r="J164" s="14" t="s">
        <v>18</v>
      </c>
      <c r="K164" s="16" t="s">
        <v>18</v>
      </c>
      <c r="L164" s="12">
        <v>30043</v>
      </c>
      <c r="M164" s="14">
        <v>99.5</v>
      </c>
      <c r="N164" s="16">
        <f>yield(+WORKDAY(TODAY(),1,0),G164,E164,M164,100,2,1)</f>
      </c>
    </row>
    <row r="165" spans="1:14">
      <c r="A165" s="5" t="s">
        <v>180</v>
      </c>
      <c r="B165" s="5" t="s">
        <v>181</v>
      </c>
      <c r="C165" s="5" t="s">
        <v>63</v>
      </c>
      <c r="D165" s="7">
        <v>1000.0</v>
      </c>
      <c r="E165" s="9">
        <v>0.17</v>
      </c>
      <c r="F165" s="11" t="s">
        <v>182</v>
      </c>
      <c r="G165" s="11" t="s">
        <v>183</v>
      </c>
      <c r="H165" s="7">
        <v>96.0</v>
      </c>
      <c r="I165" s="13">
        <v>28</v>
      </c>
      <c r="J165" s="15">
        <v>100</v>
      </c>
      <c r="K165" s="17">
        <f>yield(+WORKDAY(TODAY(),1,0),G165,E165,J165,100,2,1)</f>
      </c>
      <c r="L165" s="13" t="s">
        <v>18</v>
      </c>
      <c r="M165" s="15" t="s">
        <v>18</v>
      </c>
      <c r="N165" s="17" t="s">
        <v>18</v>
      </c>
    </row>
    <row r="166" spans="1:14">
      <c r="A166" s="4" t="s">
        <v>180</v>
      </c>
      <c r="B166" s="4" t="s">
        <v>181</v>
      </c>
      <c r="C166" s="4" t="s">
        <v>63</v>
      </c>
      <c r="D166" s="6">
        <v>1000.0</v>
      </c>
      <c r="E166" s="8">
        <v>0.17</v>
      </c>
      <c r="F166" s="10" t="s">
        <v>182</v>
      </c>
      <c r="G166" s="10" t="s">
        <v>183</v>
      </c>
      <c r="H166" s="6">
        <v>96.0</v>
      </c>
      <c r="I166" s="12">
        <v>1100</v>
      </c>
      <c r="J166" s="14">
        <v>96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184</v>
      </c>
      <c r="B167" s="5" t="s">
        <v>185</v>
      </c>
      <c r="C167" s="5" t="s">
        <v>63</v>
      </c>
      <c r="D167" s="7">
        <v>1000.0</v>
      </c>
      <c r="E167" s="9">
        <v>0.17</v>
      </c>
      <c r="F167" s="11" t="s">
        <v>186</v>
      </c>
      <c r="G167" s="11" t="s">
        <v>187</v>
      </c>
      <c r="H167" s="7">
        <v>97.0</v>
      </c>
      <c r="I167" s="13">
        <v>60</v>
      </c>
      <c r="J167" s="15">
        <v>96.98</v>
      </c>
      <c r="K167" s="17">
        <f>yield(+WORKDAY(TODAY(),1,0),G167,E167,J167,100,2,1)</f>
      </c>
      <c r="L167" s="13">
        <v>25710</v>
      </c>
      <c r="M167" s="15">
        <v>100</v>
      </c>
      <c r="N167" s="17">
        <f>yield(+WORKDAY(TODAY(),1,0),G167,E167,M167,100,2,1)</f>
      </c>
    </row>
    <row r="168" spans="1:14">
      <c r="A168" s="4" t="s">
        <v>184</v>
      </c>
      <c r="B168" s="4" t="s">
        <v>185</v>
      </c>
      <c r="C168" s="4" t="s">
        <v>63</v>
      </c>
      <c r="D168" s="6">
        <v>1000.0</v>
      </c>
      <c r="E168" s="8">
        <v>0.17</v>
      </c>
      <c r="F168" s="10" t="s">
        <v>186</v>
      </c>
      <c r="G168" s="10" t="s">
        <v>187</v>
      </c>
      <c r="H168" s="6">
        <v>97.0</v>
      </c>
      <c r="I168" s="12" t="s">
        <v>18</v>
      </c>
      <c r="J168" s="14" t="s">
        <v>18</v>
      </c>
      <c r="K168" s="16" t="s">
        <v>18</v>
      </c>
      <c r="L168" s="12">
        <v>110</v>
      </c>
      <c r="M168" s="14">
        <v>105</v>
      </c>
      <c r="N168" s="16">
        <f>yield(+WORKDAY(TODAY(),1,0),G168,E168,M168,100,2,1)</f>
      </c>
    </row>
    <row r="169" spans="1:14">
      <c r="A169" s="5" t="s">
        <v>188</v>
      </c>
      <c r="B169" s="5" t="s">
        <v>189</v>
      </c>
      <c r="C169" s="5" t="s">
        <v>63</v>
      </c>
      <c r="D169" s="7">
        <v>1000.0</v>
      </c>
      <c r="E169" s="9">
        <v>0.1675</v>
      </c>
      <c r="F169" s="11" t="s">
        <v>190</v>
      </c>
      <c r="G169" s="11" t="s">
        <v>146</v>
      </c>
      <c r="H169" s="7">
        <v>97.0</v>
      </c>
      <c r="I169" s="13" t="s">
        <v>18</v>
      </c>
      <c r="J169" s="15" t="s">
        <v>18</v>
      </c>
      <c r="K169" s="17" t="s">
        <v>18</v>
      </c>
      <c r="L169" s="13">
        <v>502</v>
      </c>
      <c r="M169" s="15">
        <v>98</v>
      </c>
      <c r="N169" s="17">
        <f>yield(+WORKDAY(TODAY(),1,0),G169,E169,M169,100,2,1)</f>
      </c>
    </row>
    <row r="170" spans="1:14">
      <c r="A170" s="4" t="s">
        <v>188</v>
      </c>
      <c r="B170" s="4" t="s">
        <v>189</v>
      </c>
      <c r="C170" s="4" t="s">
        <v>63</v>
      </c>
      <c r="D170" s="6">
        <v>1000.0</v>
      </c>
      <c r="E170" s="8">
        <v>0.1675</v>
      </c>
      <c r="F170" s="10" t="s">
        <v>190</v>
      </c>
      <c r="G170" s="10" t="s">
        <v>146</v>
      </c>
      <c r="H170" s="6">
        <v>97.0</v>
      </c>
      <c r="I170" s="12" t="s">
        <v>18</v>
      </c>
      <c r="J170" s="14" t="s">
        <v>18</v>
      </c>
      <c r="K170" s="16" t="s">
        <v>18</v>
      </c>
      <c r="L170" s="12">
        <v>3000</v>
      </c>
      <c r="M170" s="14">
        <v>99</v>
      </c>
      <c r="N170" s="16">
        <f>yield(+WORKDAY(TODAY(),1,0),G170,E170,M170,100,2,1)</f>
      </c>
    </row>
    <row r="171" spans="1:14">
      <c r="A171" s="5" t="s">
        <v>188</v>
      </c>
      <c r="B171" s="5" t="s">
        <v>189</v>
      </c>
      <c r="C171" s="5" t="s">
        <v>63</v>
      </c>
      <c r="D171" s="7">
        <v>1000.0</v>
      </c>
      <c r="E171" s="9">
        <v>0.1675</v>
      </c>
      <c r="F171" s="11" t="s">
        <v>190</v>
      </c>
      <c r="G171" s="11" t="s">
        <v>146</v>
      </c>
      <c r="H171" s="7">
        <v>97.0</v>
      </c>
      <c r="I171" s="13" t="s">
        <v>18</v>
      </c>
      <c r="J171" s="15" t="s">
        <v>18</v>
      </c>
      <c r="K171" s="17" t="s">
        <v>18</v>
      </c>
      <c r="L171" s="13">
        <v>48476</v>
      </c>
      <c r="M171" s="15">
        <v>101</v>
      </c>
      <c r="N171" s="17">
        <f>yield(+WORKDAY(TODAY(),1,0),G171,E171,M171,100,2,1)</f>
      </c>
    </row>
    <row r="172" spans="1:14">
      <c r="A172" s="4" t="s">
        <v>191</v>
      </c>
      <c r="B172" s="4" t="s">
        <v>192</v>
      </c>
      <c r="C172" s="4" t="s">
        <v>63</v>
      </c>
      <c r="D172" s="6">
        <v>1000.0</v>
      </c>
      <c r="E172" s="8">
        <v>0.1675</v>
      </c>
      <c r="F172" s="10" t="s">
        <v>190</v>
      </c>
      <c r="G172" s="10" t="s">
        <v>193</v>
      </c>
      <c r="H172" s="6">
        <v>97.0</v>
      </c>
      <c r="I172" s="12" t="s">
        <v>18</v>
      </c>
      <c r="J172" s="14" t="s">
        <v>18</v>
      </c>
      <c r="K172" s="16" t="s">
        <v>18</v>
      </c>
      <c r="L172" s="12">
        <v>103</v>
      </c>
      <c r="M172" s="14">
        <v>100</v>
      </c>
      <c r="N172" s="16">
        <f>yield(+WORKDAY(TODAY(),1,0),G172,E172,M172,100,2,1)</f>
      </c>
    </row>
    <row r="173" spans="1:14">
      <c r="A173" s="5" t="s">
        <v>191</v>
      </c>
      <c r="B173" s="5" t="s">
        <v>192</v>
      </c>
      <c r="C173" s="5" t="s">
        <v>63</v>
      </c>
      <c r="D173" s="7">
        <v>1000.0</v>
      </c>
      <c r="E173" s="9">
        <v>0.1675</v>
      </c>
      <c r="F173" s="11" t="s">
        <v>190</v>
      </c>
      <c r="G173" s="11" t="s">
        <v>193</v>
      </c>
      <c r="H173" s="7">
        <v>97.0</v>
      </c>
      <c r="I173" s="13" t="s">
        <v>18</v>
      </c>
      <c r="J173" s="15" t="s">
        <v>18</v>
      </c>
      <c r="K173" s="17" t="s">
        <v>18</v>
      </c>
      <c r="L173" s="13">
        <v>140818</v>
      </c>
      <c r="M173" s="15">
        <v>101</v>
      </c>
      <c r="N173" s="17">
        <f>yield(+WORKDAY(TODAY(),1,0),G173,E173,M173,100,2,1)</f>
      </c>
    </row>
    <row r="174" spans="1:14">
      <c r="A174" s="4" t="s">
        <v>194</v>
      </c>
      <c r="B174" s="4" t="s">
        <v>195</v>
      </c>
      <c r="C174" s="4" t="s">
        <v>63</v>
      </c>
      <c r="D174" s="6">
        <v>1000.0</v>
      </c>
      <c r="E174" s="8">
        <v>0.1725</v>
      </c>
      <c r="F174" s="10" t="s">
        <v>196</v>
      </c>
      <c r="G174" s="10" t="s">
        <v>197</v>
      </c>
      <c r="H174" s="6">
        <v>100.0</v>
      </c>
      <c r="I174" s="12">
        <v>91</v>
      </c>
      <c r="J174" s="14">
        <v>95</v>
      </c>
      <c r="K174" s="16">
        <f>yield(+WORKDAY(TODAY(),1,0),G174,E174,J174,100,2,1)</f>
      </c>
      <c r="L174" s="12">
        <v>11530</v>
      </c>
      <c r="M174" s="14">
        <v>100</v>
      </c>
      <c r="N174" s="16">
        <f>yield(+WORKDAY(TODAY(),1,0),G174,E174,M174,100,2,1)</f>
      </c>
    </row>
    <row r="175" spans="1:14">
      <c r="A175" s="5" t="s">
        <v>198</v>
      </c>
      <c r="B175" s="5" t="s">
        <v>199</v>
      </c>
      <c r="C175" s="5" t="s">
        <v>63</v>
      </c>
      <c r="D175" s="7">
        <v>1000.0</v>
      </c>
      <c r="E175" s="9">
        <v>0.1725</v>
      </c>
      <c r="F175" s="11" t="s">
        <v>200</v>
      </c>
      <c r="G175" s="11" t="s">
        <v>201</v>
      </c>
      <c r="H175" s="7">
        <v>100.3</v>
      </c>
      <c r="I175" s="13">
        <v>1500</v>
      </c>
      <c r="J175" s="15">
        <v>91</v>
      </c>
      <c r="K175" s="17">
        <f>yield(+WORKDAY(TODAY(),1,0),G175,E175,J175,100,2,1)</f>
      </c>
      <c r="L175" s="13">
        <v>1973</v>
      </c>
      <c r="M175" s="15">
        <v>100.3</v>
      </c>
      <c r="N175" s="17">
        <f>yield(+WORKDAY(TODAY(),1,0),G175,E175,M175,100,2,1)</f>
      </c>
    </row>
    <row r="176" spans="1:14">
      <c r="A176" s="4" t="s">
        <v>202</v>
      </c>
      <c r="B176" s="4" t="s">
        <v>203</v>
      </c>
      <c r="C176" s="4" t="s">
        <v>63</v>
      </c>
      <c r="D176" s="6">
        <v>1000.0</v>
      </c>
      <c r="E176" s="8">
        <v>0.1725</v>
      </c>
      <c r="F176" s="10" t="s">
        <v>204</v>
      </c>
      <c r="G176" s="10" t="s">
        <v>205</v>
      </c>
      <c r="H176" s="6">
        <v>98.8</v>
      </c>
      <c r="I176" s="12" t="s">
        <v>18</v>
      </c>
      <c r="J176" s="14" t="s">
        <v>18</v>
      </c>
      <c r="K176" s="16" t="s">
        <v>18</v>
      </c>
      <c r="L176" s="12">
        <v>7186</v>
      </c>
      <c r="M176" s="14">
        <v>99</v>
      </c>
      <c r="N176" s="16">
        <f>yield(+WORKDAY(TODAY(),1,0),G176,E176,M176,100,2,1)</f>
      </c>
    </row>
    <row r="177" spans="1:14">
      <c r="A177" s="5" t="s">
        <v>202</v>
      </c>
      <c r="B177" s="5" t="s">
        <v>203</v>
      </c>
      <c r="C177" s="5" t="s">
        <v>63</v>
      </c>
      <c r="D177" s="7">
        <v>1000.0</v>
      </c>
      <c r="E177" s="9">
        <v>0.1725</v>
      </c>
      <c r="F177" s="11" t="s">
        <v>204</v>
      </c>
      <c r="G177" s="11" t="s">
        <v>205</v>
      </c>
      <c r="H177" s="7">
        <v>98.8</v>
      </c>
      <c r="I177" s="13" t="s">
        <v>18</v>
      </c>
      <c r="J177" s="15" t="s">
        <v>18</v>
      </c>
      <c r="K177" s="17" t="s">
        <v>18</v>
      </c>
      <c r="L177" s="13">
        <v>773</v>
      </c>
      <c r="M177" s="15">
        <v>99.78</v>
      </c>
      <c r="N177" s="17">
        <f>yield(+WORKDAY(TODAY(),1,0),G177,E177,M177,100,2,1)</f>
      </c>
    </row>
    <row r="178" spans="1:14">
      <c r="A178" s="4" t="s">
        <v>202</v>
      </c>
      <c r="B178" s="4" t="s">
        <v>203</v>
      </c>
      <c r="C178" s="4" t="s">
        <v>63</v>
      </c>
      <c r="D178" s="6">
        <v>1000.0</v>
      </c>
      <c r="E178" s="8">
        <v>0.1725</v>
      </c>
      <c r="F178" s="10" t="s">
        <v>204</v>
      </c>
      <c r="G178" s="10" t="s">
        <v>205</v>
      </c>
      <c r="H178" s="6">
        <v>98.8</v>
      </c>
      <c r="I178" s="12" t="s">
        <v>18</v>
      </c>
      <c r="J178" s="14" t="s">
        <v>18</v>
      </c>
      <c r="K178" s="16" t="s">
        <v>18</v>
      </c>
      <c r="L178" s="12">
        <v>17138</v>
      </c>
      <c r="M178" s="14">
        <v>99.8</v>
      </c>
      <c r="N178" s="16">
        <f>yield(+WORKDAY(TODAY(),1,0),G178,E178,M178,100,2,1)</f>
      </c>
    </row>
    <row r="179" spans="1:14">
      <c r="A179" s="5" t="s">
        <v>202</v>
      </c>
      <c r="B179" s="5" t="s">
        <v>203</v>
      </c>
      <c r="C179" s="5" t="s">
        <v>63</v>
      </c>
      <c r="D179" s="7">
        <v>1000.0</v>
      </c>
      <c r="E179" s="9">
        <v>0.1725</v>
      </c>
      <c r="F179" s="11" t="s">
        <v>204</v>
      </c>
      <c r="G179" s="11" t="s">
        <v>205</v>
      </c>
      <c r="H179" s="7">
        <v>98.8</v>
      </c>
      <c r="I179" s="13" t="s">
        <v>18</v>
      </c>
      <c r="J179" s="15" t="s">
        <v>18</v>
      </c>
      <c r="K179" s="17" t="s">
        <v>18</v>
      </c>
      <c r="L179" s="13">
        <v>118533</v>
      </c>
      <c r="M179" s="15">
        <v>99.90000000000001</v>
      </c>
      <c r="N179" s="17">
        <f>yield(+WORKDAY(TODAY(),1,0),G179,E179,M179,100,2,1)</f>
      </c>
    </row>
    <row r="180" spans="1:14">
      <c r="A180" s="4" t="s">
        <v>202</v>
      </c>
      <c r="B180" s="4" t="s">
        <v>203</v>
      </c>
      <c r="C180" s="4" t="s">
        <v>63</v>
      </c>
      <c r="D180" s="6">
        <v>1000.0</v>
      </c>
      <c r="E180" s="8">
        <v>0.1725</v>
      </c>
      <c r="F180" s="10" t="s">
        <v>204</v>
      </c>
      <c r="G180" s="10" t="s">
        <v>205</v>
      </c>
      <c r="H180" s="6">
        <v>98.8</v>
      </c>
      <c r="I180" s="12" t="s">
        <v>18</v>
      </c>
      <c r="J180" s="14" t="s">
        <v>18</v>
      </c>
      <c r="K180" s="16" t="s">
        <v>18</v>
      </c>
      <c r="L180" s="12">
        <v>18721</v>
      </c>
      <c r="M180" s="14">
        <v>100</v>
      </c>
      <c r="N180" s="16">
        <f>yield(+WORKDAY(TODAY(),1,0),G180,E180,M180,100,2,1)</f>
      </c>
    </row>
    <row r="181" spans="1:14">
      <c r="A181" s="5" t="s">
        <v>206</v>
      </c>
      <c r="B181" s="5" t="s">
        <v>207</v>
      </c>
      <c r="C181" s="5" t="s">
        <v>63</v>
      </c>
      <c r="D181" s="7">
        <v>1000.0</v>
      </c>
      <c r="E181" s="9">
        <v>0.1725</v>
      </c>
      <c r="F181" s="11" t="s">
        <v>208</v>
      </c>
      <c r="G181" s="11" t="s">
        <v>209</v>
      </c>
      <c r="H181" s="7">
        <v>98.5</v>
      </c>
      <c r="I181" s="13">
        <v>100</v>
      </c>
      <c r="J181" s="15">
        <v>98</v>
      </c>
      <c r="K181" s="17">
        <f>yield(+WORKDAY(TODAY(),1,0),G181,E181,J181,100,2,1)</f>
      </c>
      <c r="L181" s="13">
        <v>939</v>
      </c>
      <c r="M181" s="15">
        <v>99</v>
      </c>
      <c r="N181" s="17">
        <f>yield(+WORKDAY(TODAY(),1,0),G181,E181,M181,100,2,1)</f>
      </c>
    </row>
    <row r="182" spans="1:14">
      <c r="A182" s="4" t="s">
        <v>206</v>
      </c>
      <c r="B182" s="4" t="s">
        <v>207</v>
      </c>
      <c r="C182" s="4" t="s">
        <v>63</v>
      </c>
      <c r="D182" s="6">
        <v>1000.0</v>
      </c>
      <c r="E182" s="8">
        <v>0.1725</v>
      </c>
      <c r="F182" s="10" t="s">
        <v>208</v>
      </c>
      <c r="G182" s="10" t="s">
        <v>209</v>
      </c>
      <c r="H182" s="6">
        <v>98.5</v>
      </c>
      <c r="I182" s="12" t="s">
        <v>18</v>
      </c>
      <c r="J182" s="14" t="s">
        <v>18</v>
      </c>
      <c r="K182" s="16" t="s">
        <v>18</v>
      </c>
      <c r="L182" s="12">
        <v>1606</v>
      </c>
      <c r="M182" s="14">
        <v>99.90000000000001</v>
      </c>
      <c r="N182" s="16">
        <f>yield(+WORKDAY(TODAY(),1,0),G182,E182,M182,100,2,1)</f>
      </c>
    </row>
    <row r="183" spans="1:14">
      <c r="A183" s="5" t="s">
        <v>206</v>
      </c>
      <c r="B183" s="5" t="s">
        <v>207</v>
      </c>
      <c r="C183" s="5" t="s">
        <v>63</v>
      </c>
      <c r="D183" s="7">
        <v>1000.0</v>
      </c>
      <c r="E183" s="9">
        <v>0.1725</v>
      </c>
      <c r="F183" s="11" t="s">
        <v>208</v>
      </c>
      <c r="G183" s="11" t="s">
        <v>209</v>
      </c>
      <c r="H183" s="7">
        <v>98.5</v>
      </c>
      <c r="I183" s="13" t="s">
        <v>18</v>
      </c>
      <c r="J183" s="15" t="s">
        <v>18</v>
      </c>
      <c r="K183" s="17" t="s">
        <v>18</v>
      </c>
      <c r="L183" s="13">
        <v>4922217</v>
      </c>
      <c r="M183" s="15">
        <v>100.12</v>
      </c>
      <c r="N183" s="17">
        <f>yield(+WORKDAY(TODAY(),1,0),G183,E183,M183,100,2,1)</f>
      </c>
    </row>
    <row r="184" spans="1:14">
      <c r="A184" s="4" t="s">
        <v>210</v>
      </c>
      <c r="B184" s="4" t="s">
        <v>211</v>
      </c>
      <c r="C184" s="4" t="s">
        <v>63</v>
      </c>
      <c r="D184" s="6">
        <v>1000.0</v>
      </c>
      <c r="E184" s="8">
        <v>0.1675</v>
      </c>
      <c r="F184" s="10" t="s">
        <v>59</v>
      </c>
      <c r="G184" s="10" t="s">
        <v>212</v>
      </c>
      <c r="H184" s="6">
        <v>97.0</v>
      </c>
      <c r="I184" s="12">
        <v>50</v>
      </c>
      <c r="J184" s="14">
        <v>97</v>
      </c>
      <c r="K184" s="16">
        <f>yield(+WORKDAY(TODAY(),1,0),G184,E184,J184,100,2,1)</f>
      </c>
      <c r="L184" s="12" t="s">
        <v>18</v>
      </c>
      <c r="M184" s="14" t="s">
        <v>18</v>
      </c>
      <c r="N184" s="16" t="s">
        <v>18</v>
      </c>
    </row>
    <row r="185" spans="1:14">
      <c r="A185" s="5" t="s">
        <v>213</v>
      </c>
      <c r="B185" s="5" t="s">
        <v>214</v>
      </c>
      <c r="C185" s="5" t="s">
        <v>63</v>
      </c>
      <c r="D185" s="7">
        <v>1000.0</v>
      </c>
      <c r="E185" s="9">
        <v>0.1725</v>
      </c>
      <c r="F185" s="11" t="s">
        <v>190</v>
      </c>
      <c r="G185" s="11" t="s">
        <v>215</v>
      </c>
      <c r="H185" s="7">
        <v>99.98</v>
      </c>
      <c r="I185" s="13" t="s">
        <v>18</v>
      </c>
      <c r="J185" s="15" t="s">
        <v>18</v>
      </c>
      <c r="K185" s="17" t="s">
        <v>18</v>
      </c>
      <c r="L185" s="13">
        <v>7730274</v>
      </c>
      <c r="M185" s="15">
        <v>99.98</v>
      </c>
      <c r="N185" s="17">
        <f>yield(+WORKDAY(TODAY(),1,0),G185,E185,M185,100,2,1)</f>
      </c>
    </row>
    <row r="186" spans="1:14">
      <c r="A186" s="4" t="s">
        <v>216</v>
      </c>
      <c r="B186" s="4" t="s">
        <v>217</v>
      </c>
      <c r="C186" s="4" t="s">
        <v>63</v>
      </c>
      <c r="D186" s="6">
        <v>1000.0</v>
      </c>
      <c r="E186" s="8">
        <v>0.1675</v>
      </c>
      <c r="F186" s="10" t="s">
        <v>218</v>
      </c>
      <c r="G186" s="10" t="s">
        <v>219</v>
      </c>
      <c r="H186" s="6">
        <v>97.0</v>
      </c>
      <c r="I186" s="12" t="s">
        <v>18</v>
      </c>
      <c r="J186" s="14" t="s">
        <v>18</v>
      </c>
      <c r="K186" s="16" t="s">
        <v>18</v>
      </c>
      <c r="L186" s="12">
        <v>3200</v>
      </c>
      <c r="M186" s="14">
        <v>97</v>
      </c>
      <c r="N186" s="16">
        <f>yield(+WORKDAY(TODAY(),1,0),G186,E186,M186,100,2,1)</f>
      </c>
    </row>
    <row r="187" spans="1:14">
      <c r="A187" s="5" t="s">
        <v>216</v>
      </c>
      <c r="B187" s="5" t="s">
        <v>217</v>
      </c>
      <c r="C187" s="5" t="s">
        <v>63</v>
      </c>
      <c r="D187" s="7">
        <v>1000.0</v>
      </c>
      <c r="E187" s="9">
        <v>0.1675</v>
      </c>
      <c r="F187" s="11" t="s">
        <v>218</v>
      </c>
      <c r="G187" s="11" t="s">
        <v>219</v>
      </c>
      <c r="H187" s="7">
        <v>97.0</v>
      </c>
      <c r="I187" s="13" t="s">
        <v>18</v>
      </c>
      <c r="J187" s="15" t="s">
        <v>18</v>
      </c>
      <c r="K187" s="17" t="s">
        <v>18</v>
      </c>
      <c r="L187" s="13">
        <v>5560</v>
      </c>
      <c r="M187" s="15">
        <v>99</v>
      </c>
      <c r="N187" s="17">
        <f>yield(+WORKDAY(TODAY(),1,0),G187,E187,M187,100,2,1)</f>
      </c>
    </row>
    <row r="188" spans="1:14">
      <c r="A188" s="4" t="s">
        <v>220</v>
      </c>
      <c r="B188" s="4" t="s">
        <v>221</v>
      </c>
      <c r="C188" s="4" t="s">
        <v>63</v>
      </c>
      <c r="D188" s="6">
        <v>1000.0</v>
      </c>
      <c r="E188" s="8">
        <v>0.1725</v>
      </c>
      <c r="F188" s="10" t="s">
        <v>190</v>
      </c>
      <c r="G188" s="10" t="s">
        <v>215</v>
      </c>
      <c r="H188" s="6">
        <v>99.98</v>
      </c>
      <c r="I188" s="12" t="s">
        <v>18</v>
      </c>
      <c r="J188" s="14" t="s">
        <v>18</v>
      </c>
      <c r="K188" s="16" t="s">
        <v>18</v>
      </c>
      <c r="L188" s="12">
        <v>4715908</v>
      </c>
      <c r="M188" s="14">
        <v>99.98</v>
      </c>
      <c r="N188" s="16">
        <f>yield(+WORKDAY(TODAY(),1,0),G188,E188,M188,100,2,1)</f>
      </c>
    </row>
    <row r="189" spans="1:14">
      <c r="A189" s="5" t="s">
        <v>220</v>
      </c>
      <c r="B189" s="5" t="s">
        <v>221</v>
      </c>
      <c r="C189" s="5" t="s">
        <v>63</v>
      </c>
      <c r="D189" s="7">
        <v>1000.0</v>
      </c>
      <c r="E189" s="9">
        <v>0.1725</v>
      </c>
      <c r="F189" s="11" t="s">
        <v>190</v>
      </c>
      <c r="G189" s="11" t="s">
        <v>215</v>
      </c>
      <c r="H189" s="7">
        <v>99.98</v>
      </c>
      <c r="I189" s="13" t="s">
        <v>18</v>
      </c>
      <c r="J189" s="15" t="s">
        <v>18</v>
      </c>
      <c r="K189" s="17" t="s">
        <v>18</v>
      </c>
      <c r="L189" s="13">
        <v>3159</v>
      </c>
      <c r="M189" s="15">
        <v>100</v>
      </c>
      <c r="N189" s="17">
        <f>yield(+WORKDAY(TODAY(),1,0),G189,E189,M189,100,2,1)</f>
      </c>
    </row>
    <row r="190" spans="1:14">
      <c r="A190" s="4" t="s">
        <v>222</v>
      </c>
      <c r="B190" s="4" t="s">
        <v>223</v>
      </c>
      <c r="C190" s="4" t="s">
        <v>63</v>
      </c>
      <c r="D190" s="6">
        <v>1000.0</v>
      </c>
      <c r="E190" s="8">
        <v>0.1675</v>
      </c>
      <c r="F190" s="10" t="s">
        <v>224</v>
      </c>
      <c r="G190" s="10" t="s">
        <v>225</v>
      </c>
      <c r="H190" s="6">
        <v>95.5</v>
      </c>
      <c r="I190" s="12">
        <v>656572</v>
      </c>
      <c r="J190" s="14">
        <v>94</v>
      </c>
      <c r="K190" s="16">
        <f>yield(+WORKDAY(TODAY(),1,0),G190,E190,J190,100,2,1)</f>
      </c>
      <c r="L190" s="12">
        <v>368150</v>
      </c>
      <c r="M190" s="14">
        <v>95.5</v>
      </c>
      <c r="N190" s="16">
        <f>yield(+WORKDAY(TODAY(),1,0),G190,E190,M190,100,2,1)</f>
      </c>
    </row>
    <row r="191" spans="1:14">
      <c r="A191" s="5" t="s">
        <v>222</v>
      </c>
      <c r="B191" s="5" t="s">
        <v>223</v>
      </c>
      <c r="C191" s="5" t="s">
        <v>63</v>
      </c>
      <c r="D191" s="7">
        <v>1000.0</v>
      </c>
      <c r="E191" s="9">
        <v>0.1675</v>
      </c>
      <c r="F191" s="11" t="s">
        <v>224</v>
      </c>
      <c r="G191" s="11" t="s">
        <v>225</v>
      </c>
      <c r="H191" s="7">
        <v>95.5</v>
      </c>
      <c r="I191" s="13">
        <v>4337566</v>
      </c>
      <c r="J191" s="15">
        <v>93.20999999999999</v>
      </c>
      <c r="K191" s="17">
        <f>yield(+WORKDAY(TODAY(),1,0),G191,E191,J191,100,2,1)</f>
      </c>
      <c r="L191" s="13">
        <v>68500</v>
      </c>
      <c r="M191" s="15">
        <v>95.999</v>
      </c>
      <c r="N191" s="17">
        <f>yield(+WORKDAY(TODAY(),1,0),G191,E191,M191,100,2,1)</f>
      </c>
    </row>
    <row r="192" spans="1:14">
      <c r="A192" s="4" t="s">
        <v>222</v>
      </c>
      <c r="B192" s="4" t="s">
        <v>223</v>
      </c>
      <c r="C192" s="4" t="s">
        <v>63</v>
      </c>
      <c r="D192" s="6">
        <v>1000.0</v>
      </c>
      <c r="E192" s="8">
        <v>0.1675</v>
      </c>
      <c r="F192" s="10" t="s">
        <v>224</v>
      </c>
      <c r="G192" s="10" t="s">
        <v>225</v>
      </c>
      <c r="H192" s="6">
        <v>95.5</v>
      </c>
      <c r="I192" s="12">
        <v>1880654</v>
      </c>
      <c r="J192" s="14">
        <v>92.215</v>
      </c>
      <c r="K192" s="16">
        <f>yield(+WORKDAY(TODAY(),1,0),G192,E192,J192,100,2,1)</f>
      </c>
      <c r="L192" s="12">
        <v>101672</v>
      </c>
      <c r="M192" s="14">
        <v>95.9999</v>
      </c>
      <c r="N192" s="16">
        <f>yield(+WORKDAY(TODAY(),1,0),G192,E192,M192,100,2,1)</f>
      </c>
    </row>
    <row r="193" spans="1:14">
      <c r="A193" s="5" t="s">
        <v>222</v>
      </c>
      <c r="B193" s="5" t="s">
        <v>223</v>
      </c>
      <c r="C193" s="5" t="s">
        <v>63</v>
      </c>
      <c r="D193" s="7">
        <v>1000.0</v>
      </c>
      <c r="E193" s="9">
        <v>0.1675</v>
      </c>
      <c r="F193" s="11" t="s">
        <v>224</v>
      </c>
      <c r="G193" s="11" t="s">
        <v>225</v>
      </c>
      <c r="H193" s="7">
        <v>95.5</v>
      </c>
      <c r="I193" s="13" t="s">
        <v>18</v>
      </c>
      <c r="J193" s="15" t="s">
        <v>18</v>
      </c>
      <c r="K193" s="17" t="s">
        <v>18</v>
      </c>
      <c r="L193" s="13">
        <v>921166</v>
      </c>
      <c r="M193" s="15">
        <v>97</v>
      </c>
      <c r="N193" s="17">
        <f>yield(+WORKDAY(TODAY(),1,0),G193,E193,M193,100,2,1)</f>
      </c>
    </row>
    <row r="194" spans="1:14">
      <c r="A194" s="4" t="s">
        <v>222</v>
      </c>
      <c r="B194" s="4" t="s">
        <v>223</v>
      </c>
      <c r="C194" s="4" t="s">
        <v>63</v>
      </c>
      <c r="D194" s="6">
        <v>1000.0</v>
      </c>
      <c r="E194" s="8">
        <v>0.1675</v>
      </c>
      <c r="F194" s="10" t="s">
        <v>224</v>
      </c>
      <c r="G194" s="10" t="s">
        <v>225</v>
      </c>
      <c r="H194" s="6">
        <v>95.5</v>
      </c>
      <c r="I194" s="12" t="s">
        <v>18</v>
      </c>
      <c r="J194" s="14" t="s">
        <v>18</v>
      </c>
      <c r="K194" s="16" t="s">
        <v>18</v>
      </c>
      <c r="L194" s="12">
        <v>475644</v>
      </c>
      <c r="M194" s="14">
        <v>97.5</v>
      </c>
      <c r="N194" s="16">
        <f>yield(+WORKDAY(TODAY(),1,0),G194,E194,M194,100,2,1)</f>
      </c>
    </row>
    <row r="195" spans="1:14">
      <c r="A195" s="5" t="s">
        <v>222</v>
      </c>
      <c r="B195" s="5" t="s">
        <v>223</v>
      </c>
      <c r="C195" s="5" t="s">
        <v>63</v>
      </c>
      <c r="D195" s="7">
        <v>1000.0</v>
      </c>
      <c r="E195" s="9">
        <v>0.1675</v>
      </c>
      <c r="F195" s="11" t="s">
        <v>224</v>
      </c>
      <c r="G195" s="11" t="s">
        <v>225</v>
      </c>
      <c r="H195" s="7">
        <v>95.5</v>
      </c>
      <c r="I195" s="13" t="s">
        <v>18</v>
      </c>
      <c r="J195" s="15" t="s">
        <v>18</v>
      </c>
      <c r="K195" s="17" t="s">
        <v>18</v>
      </c>
      <c r="L195" s="13">
        <v>205</v>
      </c>
      <c r="M195" s="15">
        <v>98</v>
      </c>
      <c r="N195" s="17">
        <f>yield(+WORKDAY(TODAY(),1,0),G195,E195,M195,100,2,1)</f>
      </c>
    </row>
    <row r="196" spans="1:14">
      <c r="A196" s="4" t="s">
        <v>222</v>
      </c>
      <c r="B196" s="4" t="s">
        <v>223</v>
      </c>
      <c r="C196" s="4" t="s">
        <v>63</v>
      </c>
      <c r="D196" s="6">
        <v>1000.0</v>
      </c>
      <c r="E196" s="8">
        <v>0.1675</v>
      </c>
      <c r="F196" s="10" t="s">
        <v>224</v>
      </c>
      <c r="G196" s="10" t="s">
        <v>225</v>
      </c>
      <c r="H196" s="6">
        <v>95.5</v>
      </c>
      <c r="I196" s="12" t="s">
        <v>18</v>
      </c>
      <c r="J196" s="14" t="s">
        <v>18</v>
      </c>
      <c r="K196" s="16" t="s">
        <v>18</v>
      </c>
      <c r="L196" s="12">
        <v>2400000</v>
      </c>
      <c r="M196" s="14">
        <v>100.3</v>
      </c>
      <c r="N196" s="16">
        <f>yield(+WORKDAY(TODAY(),1,0),G196,E196,M196,100,2,1)</f>
      </c>
    </row>
    <row r="197" spans="1:14">
      <c r="A197" s="5" t="s">
        <v>226</v>
      </c>
      <c r="B197" s="5" t="s">
        <v>227</v>
      </c>
      <c r="C197" s="5" t="s">
        <v>63</v>
      </c>
      <c r="D197" s="7">
        <v>1000.0</v>
      </c>
      <c r="E197" s="9">
        <v>0.1725</v>
      </c>
      <c r="F197" s="11" t="s">
        <v>228</v>
      </c>
      <c r="G197" s="11" t="s">
        <v>40</v>
      </c>
      <c r="H197" s="7">
        <v>96.98999999999999</v>
      </c>
      <c r="I197" s="13">
        <v>29890</v>
      </c>
      <c r="J197" s="15">
        <v>96.59999999999999</v>
      </c>
      <c r="K197" s="17">
        <f>yield(+WORKDAY(TODAY(),1,0),G197,E197,J197,100,2,1)</f>
      </c>
      <c r="L197" s="13">
        <v>532540</v>
      </c>
      <c r="M197" s="15">
        <v>96.98999999999999</v>
      </c>
      <c r="N197" s="17">
        <f>yield(+WORKDAY(TODAY(),1,0),G197,E197,M197,100,2,1)</f>
      </c>
    </row>
    <row r="198" spans="1:14">
      <c r="A198" s="4" t="s">
        <v>226</v>
      </c>
      <c r="B198" s="4" t="s">
        <v>227</v>
      </c>
      <c r="C198" s="4" t="s">
        <v>63</v>
      </c>
      <c r="D198" s="6">
        <v>1000.0</v>
      </c>
      <c r="E198" s="8">
        <v>0.1725</v>
      </c>
      <c r="F198" s="10" t="s">
        <v>228</v>
      </c>
      <c r="G198" s="10" t="s">
        <v>40</v>
      </c>
      <c r="H198" s="6">
        <v>96.98999999999999</v>
      </c>
      <c r="I198" s="12">
        <v>40</v>
      </c>
      <c r="J198" s="14">
        <v>96</v>
      </c>
      <c r="K198" s="16">
        <f>yield(+WORKDAY(TODAY(),1,0),G198,E198,J198,100,2,1)</f>
      </c>
      <c r="L198" s="12">
        <v>68697</v>
      </c>
      <c r="M198" s="14">
        <v>97</v>
      </c>
      <c r="N198" s="16">
        <f>yield(+WORKDAY(TODAY(),1,0),G198,E198,M198,100,2,1)</f>
      </c>
    </row>
    <row r="199" spans="1:14">
      <c r="A199" s="5" t="s">
        <v>226</v>
      </c>
      <c r="B199" s="5" t="s">
        <v>227</v>
      </c>
      <c r="C199" s="5" t="s">
        <v>63</v>
      </c>
      <c r="D199" s="7">
        <v>1000.0</v>
      </c>
      <c r="E199" s="9">
        <v>0.1725</v>
      </c>
      <c r="F199" s="11" t="s">
        <v>228</v>
      </c>
      <c r="G199" s="11" t="s">
        <v>40</v>
      </c>
      <c r="H199" s="7">
        <v>96.98999999999999</v>
      </c>
      <c r="I199" s="13">
        <v>696189</v>
      </c>
      <c r="J199" s="15">
        <v>93</v>
      </c>
      <c r="K199" s="17">
        <f>yield(+WORKDAY(TODAY(),1,0),G199,E199,J199,100,2,1)</f>
      </c>
      <c r="L199" s="13">
        <v>16500</v>
      </c>
      <c r="M199" s="15">
        <v>99</v>
      </c>
      <c r="N199" s="17">
        <f>yield(+WORKDAY(TODAY(),1,0),G199,E199,M199,100,2,1)</f>
      </c>
    </row>
    <row r="200" spans="1:14">
      <c r="A200" s="4" t="s">
        <v>226</v>
      </c>
      <c r="B200" s="4" t="s">
        <v>227</v>
      </c>
      <c r="C200" s="4" t="s">
        <v>63</v>
      </c>
      <c r="D200" s="6">
        <v>1000.0</v>
      </c>
      <c r="E200" s="8">
        <v>0.1725</v>
      </c>
      <c r="F200" s="10" t="s">
        <v>228</v>
      </c>
      <c r="G200" s="10" t="s">
        <v>40</v>
      </c>
      <c r="H200" s="6">
        <v>96.98999999999999</v>
      </c>
      <c r="I200" s="12">
        <v>3420</v>
      </c>
      <c r="J200" s="14">
        <v>90</v>
      </c>
      <c r="K200" s="16">
        <f>yield(+WORKDAY(TODAY(),1,0),G200,E200,J200,100,2,1)</f>
      </c>
      <c r="L200" s="12">
        <v>43871</v>
      </c>
      <c r="M200" s="14">
        <v>99.59999999999999</v>
      </c>
      <c r="N200" s="16">
        <f>yield(+WORKDAY(TODAY(),1,0),G200,E200,M200,100,2,1)</f>
      </c>
    </row>
    <row r="201" spans="1:14">
      <c r="A201" s="5" t="s">
        <v>226</v>
      </c>
      <c r="B201" s="5" t="s">
        <v>227</v>
      </c>
      <c r="C201" s="5" t="s">
        <v>63</v>
      </c>
      <c r="D201" s="7">
        <v>1000.0</v>
      </c>
      <c r="E201" s="9">
        <v>0.1725</v>
      </c>
      <c r="F201" s="11" t="s">
        <v>228</v>
      </c>
      <c r="G201" s="11" t="s">
        <v>40</v>
      </c>
      <c r="H201" s="7">
        <v>96.98999999999999</v>
      </c>
      <c r="I201" s="13" t="s">
        <v>18</v>
      </c>
      <c r="J201" s="15" t="s">
        <v>18</v>
      </c>
      <c r="K201" s="17" t="s">
        <v>18</v>
      </c>
      <c r="L201" s="13">
        <v>28169</v>
      </c>
      <c r="M201" s="15">
        <v>99.8</v>
      </c>
      <c r="N201" s="17">
        <f>yield(+WORKDAY(TODAY(),1,0),G201,E201,M201,100,2,1)</f>
      </c>
    </row>
    <row r="202" spans="1:14">
      <c r="A202" s="4" t="s">
        <v>226</v>
      </c>
      <c r="B202" s="4" t="s">
        <v>227</v>
      </c>
      <c r="C202" s="4" t="s">
        <v>63</v>
      </c>
      <c r="D202" s="6">
        <v>1000.0</v>
      </c>
      <c r="E202" s="8">
        <v>0.1725</v>
      </c>
      <c r="F202" s="10" t="s">
        <v>228</v>
      </c>
      <c r="G202" s="10" t="s">
        <v>40</v>
      </c>
      <c r="H202" s="6">
        <v>96.98999999999999</v>
      </c>
      <c r="I202" s="12" t="s">
        <v>18</v>
      </c>
      <c r="J202" s="14" t="s">
        <v>18</v>
      </c>
      <c r="K202" s="16" t="s">
        <v>18</v>
      </c>
      <c r="L202" s="12">
        <v>6085000</v>
      </c>
      <c r="M202" s="14">
        <v>100.27</v>
      </c>
      <c r="N202" s="16">
        <f>yield(+WORKDAY(TODAY(),1,0),G202,E202,M202,100,2,1)</f>
      </c>
    </row>
    <row r="203" spans="1:14">
      <c r="A203" s="5" t="s">
        <v>229</v>
      </c>
      <c r="B203" s="5" t="s">
        <v>230</v>
      </c>
      <c r="C203" s="5" t="s">
        <v>63</v>
      </c>
      <c r="D203" s="7">
        <v>1000.0</v>
      </c>
      <c r="E203" s="9">
        <v>0.1675</v>
      </c>
      <c r="F203" s="11" t="s">
        <v>51</v>
      </c>
      <c r="G203" s="11" t="s">
        <v>52</v>
      </c>
      <c r="H203" s="7">
        <v>93.0</v>
      </c>
      <c r="I203" s="13">
        <v>4000</v>
      </c>
      <c r="J203" s="15">
        <v>93.099999999999994</v>
      </c>
      <c r="K203" s="17">
        <f>yield(+WORKDAY(TODAY(),1,0),G203,E203,J203,100,2,1)</f>
      </c>
      <c r="L203" s="13">
        <v>153332</v>
      </c>
      <c r="M203" s="15">
        <v>96.48</v>
      </c>
      <c r="N203" s="17">
        <f>yield(+WORKDAY(TODAY(),1,0),G203,E203,M203,100,2,1)</f>
      </c>
    </row>
    <row r="204" spans="1:14">
      <c r="A204" s="4" t="s">
        <v>229</v>
      </c>
      <c r="B204" s="4" t="s">
        <v>230</v>
      </c>
      <c r="C204" s="4" t="s">
        <v>63</v>
      </c>
      <c r="D204" s="6">
        <v>1000.0</v>
      </c>
      <c r="E204" s="8">
        <v>0.1675</v>
      </c>
      <c r="F204" s="10" t="s">
        <v>51</v>
      </c>
      <c r="G204" s="10" t="s">
        <v>52</v>
      </c>
      <c r="H204" s="6">
        <v>93.0</v>
      </c>
      <c r="I204" s="12">
        <v>97265</v>
      </c>
      <c r="J204" s="14">
        <v>93</v>
      </c>
      <c r="K204" s="16">
        <f>yield(+WORKDAY(TODAY(),1,0),G204,E204,J204,100,2,1)</f>
      </c>
      <c r="L204" s="12">
        <v>299450</v>
      </c>
      <c r="M204" s="14">
        <v>96.499</v>
      </c>
      <c r="N204" s="16">
        <f>yield(+WORKDAY(TODAY(),1,0),G204,E204,M204,100,2,1)</f>
      </c>
    </row>
    <row r="205" spans="1:14">
      <c r="A205" s="5" t="s">
        <v>229</v>
      </c>
      <c r="B205" s="5" t="s">
        <v>230</v>
      </c>
      <c r="C205" s="5" t="s">
        <v>63</v>
      </c>
      <c r="D205" s="7">
        <v>1000.0</v>
      </c>
      <c r="E205" s="9">
        <v>0.1675</v>
      </c>
      <c r="F205" s="11" t="s">
        <v>51</v>
      </c>
      <c r="G205" s="11" t="s">
        <v>52</v>
      </c>
      <c r="H205" s="7">
        <v>93.0</v>
      </c>
      <c r="I205" s="13" t="s">
        <v>18</v>
      </c>
      <c r="J205" s="15" t="s">
        <v>18</v>
      </c>
      <c r="K205" s="17" t="s">
        <v>18</v>
      </c>
      <c r="L205" s="13">
        <v>10021</v>
      </c>
      <c r="M205" s="15">
        <v>96.5</v>
      </c>
      <c r="N205" s="17">
        <f>yield(+WORKDAY(TODAY(),1,0),G205,E205,M205,100,2,1)</f>
      </c>
    </row>
    <row r="206" spans="1:14">
      <c r="A206" s="4" t="s">
        <v>229</v>
      </c>
      <c r="B206" s="4" t="s">
        <v>230</v>
      </c>
      <c r="C206" s="4" t="s">
        <v>63</v>
      </c>
      <c r="D206" s="6">
        <v>1000.0</v>
      </c>
      <c r="E206" s="8">
        <v>0.1675</v>
      </c>
      <c r="F206" s="10" t="s">
        <v>51</v>
      </c>
      <c r="G206" s="10" t="s">
        <v>52</v>
      </c>
      <c r="H206" s="6">
        <v>93.0</v>
      </c>
      <c r="I206" s="12" t="s">
        <v>18</v>
      </c>
      <c r="J206" s="14" t="s">
        <v>18</v>
      </c>
      <c r="K206" s="16" t="s">
        <v>18</v>
      </c>
      <c r="L206" s="12">
        <v>209509</v>
      </c>
      <c r="M206" s="14">
        <v>97</v>
      </c>
      <c r="N206" s="16">
        <f>yield(+WORKDAY(TODAY(),1,0),G206,E206,M206,100,2,1)</f>
      </c>
    </row>
    <row r="207" spans="1:14">
      <c r="A207" s="5" t="s">
        <v>229</v>
      </c>
      <c r="B207" s="5" t="s">
        <v>230</v>
      </c>
      <c r="C207" s="5" t="s">
        <v>63</v>
      </c>
      <c r="D207" s="7">
        <v>1000.0</v>
      </c>
      <c r="E207" s="9">
        <v>0.1675</v>
      </c>
      <c r="F207" s="11" t="s">
        <v>51</v>
      </c>
      <c r="G207" s="11" t="s">
        <v>52</v>
      </c>
      <c r="H207" s="7">
        <v>93.0</v>
      </c>
      <c r="I207" s="13" t="s">
        <v>18</v>
      </c>
      <c r="J207" s="15" t="s">
        <v>18</v>
      </c>
      <c r="K207" s="17" t="s">
        <v>18</v>
      </c>
      <c r="L207" s="13">
        <v>3981</v>
      </c>
      <c r="M207" s="15">
        <v>97.5</v>
      </c>
      <c r="N207" s="17">
        <f>yield(+WORKDAY(TODAY(),1,0),G207,E207,M207,100,2,1)</f>
      </c>
    </row>
    <row r="208" spans="1:14">
      <c r="A208" s="4" t="s">
        <v>229</v>
      </c>
      <c r="B208" s="4" t="s">
        <v>230</v>
      </c>
      <c r="C208" s="4" t="s">
        <v>63</v>
      </c>
      <c r="D208" s="6">
        <v>1000.0</v>
      </c>
      <c r="E208" s="8">
        <v>0.1675</v>
      </c>
      <c r="F208" s="10" t="s">
        <v>51</v>
      </c>
      <c r="G208" s="10" t="s">
        <v>52</v>
      </c>
      <c r="H208" s="6">
        <v>93.0</v>
      </c>
      <c r="I208" s="12" t="s">
        <v>18</v>
      </c>
      <c r="J208" s="14" t="s">
        <v>18</v>
      </c>
      <c r="K208" s="16" t="s">
        <v>18</v>
      </c>
      <c r="L208" s="12">
        <v>50999</v>
      </c>
      <c r="M208" s="14">
        <v>98</v>
      </c>
      <c r="N208" s="16">
        <f>yield(+WORKDAY(TODAY(),1,0),G208,E208,M208,100,2,1)</f>
      </c>
    </row>
    <row r="209" spans="1:14">
      <c r="A209" s="5" t="s">
        <v>229</v>
      </c>
      <c r="B209" s="5" t="s">
        <v>230</v>
      </c>
      <c r="C209" s="5" t="s">
        <v>63</v>
      </c>
      <c r="D209" s="7">
        <v>1000.0</v>
      </c>
      <c r="E209" s="9">
        <v>0.1675</v>
      </c>
      <c r="F209" s="11" t="s">
        <v>51</v>
      </c>
      <c r="G209" s="11" t="s">
        <v>52</v>
      </c>
      <c r="H209" s="7">
        <v>93.0</v>
      </c>
      <c r="I209" s="13" t="s">
        <v>18</v>
      </c>
      <c r="J209" s="15" t="s">
        <v>18</v>
      </c>
      <c r="K209" s="17" t="s">
        <v>18</v>
      </c>
      <c r="L209" s="13">
        <v>745</v>
      </c>
      <c r="M209" s="15">
        <v>100</v>
      </c>
      <c r="N209" s="17">
        <f>yield(+WORKDAY(TODAY(),1,0),G209,E209,M209,100,2,1)</f>
      </c>
    </row>
    <row r="210" spans="1:14">
      <c r="A210" s="4" t="s">
        <v>231</v>
      </c>
      <c r="B210" s="4" t="s">
        <v>232</v>
      </c>
      <c r="C210" s="4" t="s">
        <v>63</v>
      </c>
      <c r="D210" s="6">
        <v>1000.0</v>
      </c>
      <c r="E210" s="8">
        <v>0.1775</v>
      </c>
      <c r="F210" s="10" t="s">
        <v>233</v>
      </c>
      <c r="G210" s="10" t="s">
        <v>234</v>
      </c>
      <c r="H210" s="6">
        <v>100.3</v>
      </c>
      <c r="I210" s="12">
        <v>41208</v>
      </c>
      <c r="J210" s="14">
        <v>100</v>
      </c>
      <c r="K210" s="16">
        <f>yield(+WORKDAY(TODAY(),1,0),G210,E210,J210,100,2,1)</f>
      </c>
      <c r="L210" s="12">
        <v>12190031</v>
      </c>
      <c r="M210" s="14">
        <v>100.3</v>
      </c>
      <c r="N210" s="16">
        <f>yield(+WORKDAY(TODAY(),1,0),G210,E210,M210,100,2,1)</f>
      </c>
    </row>
    <row r="211" spans="1:14">
      <c r="A211" s="5" t="s">
        <v>231</v>
      </c>
      <c r="B211" s="5" t="s">
        <v>232</v>
      </c>
      <c r="C211" s="5" t="s">
        <v>63</v>
      </c>
      <c r="D211" s="7">
        <v>1000.0</v>
      </c>
      <c r="E211" s="9">
        <v>0.1775</v>
      </c>
      <c r="F211" s="11" t="s">
        <v>233</v>
      </c>
      <c r="G211" s="11" t="s">
        <v>234</v>
      </c>
      <c r="H211" s="7">
        <v>100.3</v>
      </c>
      <c r="I211" s="13" t="s">
        <v>18</v>
      </c>
      <c r="J211" s="15" t="s">
        <v>18</v>
      </c>
      <c r="K211" s="17" t="s">
        <v>18</v>
      </c>
      <c r="L211" s="13">
        <v>22448</v>
      </c>
      <c r="M211" s="15">
        <v>103</v>
      </c>
      <c r="N211" s="17">
        <f>yield(+WORKDAY(TODAY(),1,0),G211,E211,M211,100,2,1)</f>
      </c>
    </row>
    <row r="212" spans="1:14" customHeight="1" ht="80">
      <c r="A212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2:N2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2026-06-11T10:20:13+01:00</dcterms:created>
  <dcterms:modified xsi:type="dcterms:W3CDTF">2026-06-11T10:20:13+01:00</dcterms:modified>
  <dc:title>Untitled Spreadsheet</dc:title>
  <dc:description/>
  <dc:subject/>
  <cp:keywords/>
  <cp:category/>
</cp:coreProperties>
</file>