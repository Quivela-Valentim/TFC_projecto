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rdens Disponíveis no Mercad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<sst xmlns="http://schemas.openxmlformats.org/spreadsheetml/2006/main" uniqueCount="282">
  <si>
    <t>Livro de Ordens - 26/05/2026 12:44:59</t>
  </si>
  <si>
    <t>Código de Negociação</t>
  </si>
  <si>
    <t>ISIN</t>
  </si>
  <si>
    <t>Tipologia do Título</t>
  </si>
  <si>
    <t>VNUA / Dividendos</t>
  </si>
  <si>
    <t>Taxa de Cupão (%)</t>
  </si>
  <si>
    <t>Data de Emissão</t>
  </si>
  <si>
    <t>Data de Vencimento</t>
  </si>
  <si>
    <t>Última Cotação</t>
  </si>
  <si>
    <t>Compra</t>
  </si>
  <si>
    <t>Venda</t>
  </si>
  <si>
    <t>Quantidade</t>
  </si>
  <si>
    <t>Preço</t>
  </si>
  <si>
    <t>Yield</t>
  </si>
  <si>
    <t>BDVAAAAA</t>
  </si>
  <si>
    <t>AOBDVAAAAA05</t>
  </si>
  <si>
    <t>Acções</t>
  </si>
  <si>
    <t>NA</t>
  </si>
  <si>
    <t>-</t>
  </si>
  <si>
    <t>BAIAAAAA</t>
  </si>
  <si>
    <t>AOBAIAAAAA05</t>
  </si>
  <si>
    <t>BCGAAAAA</t>
  </si>
  <si>
    <t>AOBCGAAAAA05</t>
  </si>
  <si>
    <t>ENSAAAAA</t>
  </si>
  <si>
    <t>AOENSAAAAA05</t>
  </si>
  <si>
    <t>BFAAAAAA</t>
  </si>
  <si>
    <t>AOBFAAAAAA08</t>
  </si>
  <si>
    <t>SNLEDOFB</t>
  </si>
  <si>
    <t>AOSNLEDOFA16</t>
  </si>
  <si>
    <t>Obrigações Ordinárias</t>
  </si>
  <si>
    <t>2023-09-14</t>
  </si>
  <si>
    <t>2028-09-14</t>
  </si>
  <si>
    <t>BAIODOFA</t>
  </si>
  <si>
    <t>AOBAIODOFA05</t>
  </si>
  <si>
    <t>2026-01-28</t>
  </si>
  <si>
    <t>2031-01-28</t>
  </si>
  <si>
    <t>MAISUFVA</t>
  </si>
  <si>
    <t>AOMAISUFVA08</t>
  </si>
  <si>
    <t>OIC Fechado</t>
  </si>
  <si>
    <t>2025-07-01</t>
  </si>
  <si>
    <t>2026-07-01</t>
  </si>
  <si>
    <t>EL15S31A</t>
  </si>
  <si>
    <t>AOUGDELS23E6</t>
  </si>
  <si>
    <t>OT-ME</t>
  </si>
  <si>
    <t>2023-02-15</t>
  </si>
  <si>
    <t>2031-02-15</t>
  </si>
  <si>
    <t>EL15F31A</t>
  </si>
  <si>
    <t>AOUGDELF23E3</t>
  </si>
  <si>
    <t>2023-09-15</t>
  </si>
  <si>
    <t>2031-09-15</t>
  </si>
  <si>
    <t>EO15U34A</t>
  </si>
  <si>
    <t>AOUGDEOU23A4</t>
  </si>
  <si>
    <t>2023-01-15</t>
  </si>
  <si>
    <t>2034-01-15</t>
  </si>
  <si>
    <t>EO15J34A</t>
  </si>
  <si>
    <t>AOUGDEOJ23A7</t>
  </si>
  <si>
    <t>2023-06-15</t>
  </si>
  <si>
    <t>2034-06-15</t>
  </si>
  <si>
    <t>EI15S29A</t>
  </si>
  <si>
    <t>AOUGDEIS24A8</t>
  </si>
  <si>
    <t>2024-09-15</t>
  </si>
  <si>
    <t>2029-09-15</t>
  </si>
  <si>
    <t>EL15U33A</t>
  </si>
  <si>
    <t>AOUGDELU25A5</t>
  </si>
  <si>
    <t>2025-06-15</t>
  </si>
  <si>
    <t>2033-06-15</t>
  </si>
  <si>
    <t>OI14U26A</t>
  </si>
  <si>
    <t>AOUGDOIU21C5</t>
  </si>
  <si>
    <t>OT-NR</t>
  </si>
  <si>
    <t>2021-06-14</t>
  </si>
  <si>
    <t>2026-06-14</t>
  </si>
  <si>
    <t>OI12G26A</t>
  </si>
  <si>
    <t>AOUGDOIG21D2</t>
  </si>
  <si>
    <t>2021-08-12</t>
  </si>
  <si>
    <t>2026-08-12</t>
  </si>
  <si>
    <t>OI11O26A</t>
  </si>
  <si>
    <t>AOUGDOIO21C8</t>
  </si>
  <si>
    <t>2021-10-11</t>
  </si>
  <si>
    <t>2026-10-11</t>
  </si>
  <si>
    <t>OJ10M28A</t>
  </si>
  <si>
    <t>AOUGDOJM22A2</t>
  </si>
  <si>
    <t>2022-03-10</t>
  </si>
  <si>
    <t>2028-03-10</t>
  </si>
  <si>
    <t>ON07A32A</t>
  </si>
  <si>
    <t>AOUGDONA22A9</t>
  </si>
  <si>
    <t>2022-04-07</t>
  </si>
  <si>
    <t>2032-04-07</t>
  </si>
  <si>
    <t>OL07A30A</t>
  </si>
  <si>
    <t>AOUGDOLA22A3</t>
  </si>
  <si>
    <t>2030-04-07</t>
  </si>
  <si>
    <t>OI10L27A</t>
  </si>
  <si>
    <t>AOUGDOIL22A6</t>
  </si>
  <si>
    <t>2022-07-10</t>
  </si>
  <si>
    <t>2027-07-10</t>
  </si>
  <si>
    <t>OJ10G28B</t>
  </si>
  <si>
    <t>AOUGDOJG22B2</t>
  </si>
  <si>
    <t>2022-08-10</t>
  </si>
  <si>
    <t>2028-08-10</t>
  </si>
  <si>
    <t>OK05A29B</t>
  </si>
  <si>
    <t>AOUGDOKA22B3</t>
  </si>
  <si>
    <t>2022-04-05</t>
  </si>
  <si>
    <t>2029-04-05</t>
  </si>
  <si>
    <t>OL10D30A</t>
  </si>
  <si>
    <t>AOUGDOLD22A7</t>
  </si>
  <si>
    <t>2022-12-10</t>
  </si>
  <si>
    <t>2030-12-10</t>
  </si>
  <si>
    <t>ON30J33A</t>
  </si>
  <si>
    <t>AOUGDONJ23A8</t>
  </si>
  <si>
    <t>2023-01-30</t>
  </si>
  <si>
    <t>2033-01-30</t>
  </si>
  <si>
    <t>OM10G31A</t>
  </si>
  <si>
    <t>AOUGDOMG22A8</t>
  </si>
  <si>
    <t>2031-08-10</t>
  </si>
  <si>
    <t>OL01U31A</t>
  </si>
  <si>
    <t>AOUGDOLU23A9</t>
  </si>
  <si>
    <t>2023-06-01</t>
  </si>
  <si>
    <t>2031-06-01</t>
  </si>
  <si>
    <t>OO01I34A</t>
  </si>
  <si>
    <t>AOUGDOOI23A8</t>
  </si>
  <si>
    <t>2023-05-01</t>
  </si>
  <si>
    <t>2034-05-01</t>
  </si>
  <si>
    <t>OH19N27A</t>
  </si>
  <si>
    <t>AOUGDOHN23A2</t>
  </si>
  <si>
    <t>2023-11-19</t>
  </si>
  <si>
    <t>2027-11-19</t>
  </si>
  <si>
    <t>OJ05G29D</t>
  </si>
  <si>
    <t>AOUGDOJG23D6</t>
  </si>
  <si>
    <t>2023-08-05</t>
  </si>
  <si>
    <t>2029-08-05</t>
  </si>
  <si>
    <t>OJ15G29C</t>
  </si>
  <si>
    <t>AOUGDOJG23G9</t>
  </si>
  <si>
    <t>2023-08-15</t>
  </si>
  <si>
    <t>2029-08-15</t>
  </si>
  <si>
    <t>OI15I29A</t>
  </si>
  <si>
    <t>AOUGDOII24A8</t>
  </si>
  <si>
    <t>2024-05-15</t>
  </si>
  <si>
    <t>2029-05-15</t>
  </si>
  <si>
    <t>OK15M31A</t>
  </si>
  <si>
    <t>AOUGDOKM24A6</t>
  </si>
  <si>
    <t>2024-03-15</t>
  </si>
  <si>
    <t>2031-03-15</t>
  </si>
  <si>
    <t>OF15G26B</t>
  </si>
  <si>
    <t>AOUGDOFG24B6</t>
  </si>
  <si>
    <t>2024-08-15</t>
  </si>
  <si>
    <t>2026-08-15</t>
  </si>
  <si>
    <t>OF13S26A</t>
  </si>
  <si>
    <t>AOUGDOFS24A3</t>
  </si>
  <si>
    <t>2024-09-13</t>
  </si>
  <si>
    <t>2026-09-13</t>
  </si>
  <si>
    <t>OH15L28B</t>
  </si>
  <si>
    <t>AOUGDOHL24A4</t>
  </si>
  <si>
    <t>2024-07-15</t>
  </si>
  <si>
    <t>2028-07-15</t>
  </si>
  <si>
    <t>OJ08M30A</t>
  </si>
  <si>
    <t>AOUGDOJM24A8</t>
  </si>
  <si>
    <t>2024-03-08</t>
  </si>
  <si>
    <t>2030-03-08</t>
  </si>
  <si>
    <t>OJ15U30A</t>
  </si>
  <si>
    <t>AOUGDOJU24A1</t>
  </si>
  <si>
    <t>2024-06-15</t>
  </si>
  <si>
    <t>2030-06-15</t>
  </si>
  <si>
    <t>OJ15N30A</t>
  </si>
  <si>
    <t>AOUGDOJN24A6</t>
  </si>
  <si>
    <t>2024-11-15</t>
  </si>
  <si>
    <t>2030-11-15</t>
  </si>
  <si>
    <t>OJ15O30B</t>
  </si>
  <si>
    <t>AOUGDOJO24B2</t>
  </si>
  <si>
    <t>2024-10-15</t>
  </si>
  <si>
    <t>2030-10-15</t>
  </si>
  <si>
    <t>OI15F30A</t>
  </si>
  <si>
    <t>AOUGDOIF25A1</t>
  </si>
  <si>
    <t>2025-02-15</t>
  </si>
  <si>
    <t>2030-02-15</t>
  </si>
  <si>
    <t>OH15S28F</t>
  </si>
  <si>
    <t>AOUGDOHS24F8</t>
  </si>
  <si>
    <t>2028-09-15</t>
  </si>
  <si>
    <t>OH15N28D</t>
  </si>
  <si>
    <t>AOUGDOHN24F9</t>
  </si>
  <si>
    <t>2028-11-15</t>
  </si>
  <si>
    <t>OJ15U30D</t>
  </si>
  <si>
    <t>AOUGDOJU24D5</t>
  </si>
  <si>
    <t>OH15O28A</t>
  </si>
  <si>
    <t>AOUGDOHO24A8</t>
  </si>
  <si>
    <t>2028-10-15</t>
  </si>
  <si>
    <t>OI08I30A</t>
  </si>
  <si>
    <t>AOUGDOII25A5</t>
  </si>
  <si>
    <t>2025-05-08</t>
  </si>
  <si>
    <t>2030-05-08</t>
  </si>
  <si>
    <t>OK15A31A</t>
  </si>
  <si>
    <t>AOUGDOKA24A1</t>
  </si>
  <si>
    <t>2024-04-15</t>
  </si>
  <si>
    <t>2031-04-15</t>
  </si>
  <si>
    <t>OL15M32A</t>
  </si>
  <si>
    <t>AOUGDOLM24A4</t>
  </si>
  <si>
    <t>2032-03-15</t>
  </si>
  <si>
    <t>OM15L32A</t>
  </si>
  <si>
    <t>AOUGDOML23A6</t>
  </si>
  <si>
    <t>2023-07-15</t>
  </si>
  <si>
    <t>2032-07-15</t>
  </si>
  <si>
    <t>OI15J30C</t>
  </si>
  <si>
    <t>AOUGDOIJ25C9</t>
  </si>
  <si>
    <t>2025-01-15</t>
  </si>
  <si>
    <t>2030-01-15</t>
  </si>
  <si>
    <t>OI15A30A</t>
  </si>
  <si>
    <t>AOUGDOIA25A2</t>
  </si>
  <si>
    <t>2025-04-15</t>
  </si>
  <si>
    <t>2030-04-15</t>
  </si>
  <si>
    <t>OM15D31B</t>
  </si>
  <si>
    <t>AOUGDOMD22B3</t>
  </si>
  <si>
    <t>2022-12-15</t>
  </si>
  <si>
    <t>2031-12-15</t>
  </si>
  <si>
    <t>OH15N28E</t>
  </si>
  <si>
    <t>AOUGDOHN24G7</t>
  </si>
  <si>
    <t>OG15L28A</t>
  </si>
  <si>
    <t>AOUGDOGL25B1</t>
  </si>
  <si>
    <t>2025-07-15</t>
  </si>
  <si>
    <t>OH15L29A</t>
  </si>
  <si>
    <t>AOUGDOHL25A1</t>
  </si>
  <si>
    <t>2029-07-15</t>
  </si>
  <si>
    <t>OJ15G31A</t>
  </si>
  <si>
    <t>AOUGDOJG25A7</t>
  </si>
  <si>
    <t>2025-08-15</t>
  </si>
  <si>
    <t>2031-08-15</t>
  </si>
  <si>
    <t>OG15J27A</t>
  </si>
  <si>
    <t>AOUGDOGJ24A0</t>
  </si>
  <si>
    <t>2024-01-15</t>
  </si>
  <si>
    <t>2027-01-15</t>
  </si>
  <si>
    <t>OG15D27A</t>
  </si>
  <si>
    <t>AOUGDOGD24A3</t>
  </si>
  <si>
    <t>2024-12-15</t>
  </si>
  <si>
    <t>2027-12-15</t>
  </si>
  <si>
    <t>OG15U28A</t>
  </si>
  <si>
    <t>AOUGDOGU25A4</t>
  </si>
  <si>
    <t>2028-06-15</t>
  </si>
  <si>
    <t>OI15G30A</t>
  </si>
  <si>
    <t>AOUGDOIG25A9</t>
  </si>
  <si>
    <t>2030-08-15</t>
  </si>
  <si>
    <t>OJ15O31A</t>
  </si>
  <si>
    <t>AOUGDOJO25A1</t>
  </si>
  <si>
    <t>2025-10-15</t>
  </si>
  <si>
    <t>2031-10-15</t>
  </si>
  <si>
    <t>OJ10O31A</t>
  </si>
  <si>
    <t>AOUGDOJO25B9</t>
  </si>
  <si>
    <t>2025-10-10</t>
  </si>
  <si>
    <t>2031-10-10</t>
  </si>
  <si>
    <t>OJ15I31A</t>
  </si>
  <si>
    <t>AOUGDOJI25A3</t>
  </si>
  <si>
    <t>2025-05-15</t>
  </si>
  <si>
    <t>2031-05-15</t>
  </si>
  <si>
    <t>OH15U29B</t>
  </si>
  <si>
    <t>AOUGDOHU25B0</t>
  </si>
  <si>
    <t>2029-06-15</t>
  </si>
  <si>
    <t>OJ15L31A</t>
  </si>
  <si>
    <t>AOUGDOJL25A7</t>
  </si>
  <si>
    <t>2031-07-15</t>
  </si>
  <si>
    <t>OG12F29A</t>
  </si>
  <si>
    <t>AOUGDOGF26B1</t>
  </si>
  <si>
    <t>2026-02-12</t>
  </si>
  <si>
    <t>2029-02-12</t>
  </si>
  <si>
    <t>OG15O27B</t>
  </si>
  <si>
    <t>AOUGDOGO24C6</t>
  </si>
  <si>
    <t>2027-10-15</t>
  </si>
  <si>
    <t>OJ15L31B</t>
  </si>
  <si>
    <t>AOUGDOJL25B5</t>
  </si>
  <si>
    <t>OG13M29A</t>
  </si>
  <si>
    <t>AOUGDOGM26A9</t>
  </si>
  <si>
    <t>2026-03-13</t>
  </si>
  <si>
    <t>2029-03-13</t>
  </si>
  <si>
    <t>OI15F31A</t>
  </si>
  <si>
    <t>AOUGDOIF26A9</t>
  </si>
  <si>
    <t>2026-02-15</t>
  </si>
  <si>
    <t>OI15S29B</t>
  </si>
  <si>
    <t>AOUGDOIS24B5</t>
  </si>
  <si>
    <t>OH15M30A</t>
  </si>
  <si>
    <t>AOUGDOHM26A7</t>
  </si>
  <si>
    <t>2026-03-15</t>
  </si>
  <si>
    <t>2030-03-15</t>
  </si>
  <si>
    <t>OK15A33A</t>
  </si>
  <si>
    <t>AOUGDOKA26A6</t>
  </si>
  <si>
    <t>2026-04-15</t>
  </si>
  <si>
    <t>2033-04-15</t>
  </si>
  <si>
    <r>
      <rPr>
        <rFont val="Calibri"/>
        <b val="true"/>
        <i val="true"/>
        <strike val="false"/>
        <color rgb="FFFF0000"/>
        <sz val="11"/>
        <u val="single"/>
      </rPr>
      <t xml:space="preserve">Disclaimer: </t>
    </r>
    <r>
      <t xml:space="preserve">Todos os esforços razoáveis foram feitos para garantir que as informações neste documento estejam correctas no momento da publicação. No entanto, a BODIVA SGMR S.A não aceita qualquer responsabilidade por decisões tomadas, ou relacionadas a sistemas ou outros trabalhos realizados por qualquer parte com base neste documento. Este documento não é uma recomendação de investimento, não constitui qualquer tipo de aconselhamento, nem é uma oferta de compra e venda ou tem como intenção solicitar uma oferta de compra ou de venda de instrumentos financeiros. Adicionalmente, para as acções admitidas a negociação os dividendos pagos correspondem ao último exercício.</t>
    </r>
  </si>
</sst>
</file>

<file path=xl/styles.xml><?xml version="1.0" encoding="utf-8"?>
<styleSheet xmlns="http://schemas.openxmlformats.org/spreadsheetml/2006/main">
  <numFmts count="2">
    <numFmt numFmtId="164" formatCode="#,##0.0000"/>
    <numFmt numFmtId="165" formatCode="dd/mm/yyyy"/>
  </numFmts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FFFFFF"/>
      <name val="Calibri"/>
    </font>
    <font>
      <b val="0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0253F"/>
        <bgColor rgb="FF000000"/>
      </patternFill>
    </fill>
    <fill>
      <patternFill patternType="solid">
        <fgColor rgb="FFD6E3F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justify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bottom" textRotation="0" wrapText="false" shrinkToFit="false"/>
    </xf>
    <xf xfId="0" fontId="0" numFmtId="164" fillId="0" borderId="1" applyFont="0" applyNumberFormat="1" applyFill="0" applyBorder="1" applyAlignment="1">
      <alignment horizontal="center" vertical="bottom" textRotation="0" wrapText="false" shrinkToFit="false"/>
    </xf>
    <xf xfId="0" fontId="0" numFmtId="164" fillId="3" borderId="1" applyFont="0" applyNumberFormat="1" applyFill="1" applyBorder="1" applyAlignment="1">
      <alignment horizontal="center" vertical="bottom" textRotation="0" wrapText="false" shrinkToFit="false"/>
    </xf>
    <xf xfId="0" fontId="0" numFmtId="10" fillId="0" borderId="1" applyFont="0" applyNumberFormat="1" applyFill="0" applyBorder="1" applyAlignment="1">
      <alignment horizontal="center" vertical="bottom" textRotation="0" wrapText="false" shrinkToFit="false"/>
    </xf>
    <xf xfId="0" fontId="0" numFmtId="10" fillId="3" borderId="1" applyFont="0" applyNumberFormat="1" applyFill="1" applyBorder="1" applyAlignment="1">
      <alignment horizontal="center" vertical="bottom" textRotation="0" wrapText="false" shrinkToFit="false"/>
    </xf>
    <xf xfId="0" fontId="0" numFmtId="165" fillId="0" borderId="1" applyFont="0" applyNumberFormat="1" applyFill="0" applyBorder="1" applyAlignment="1">
      <alignment horizontal="center" vertical="bottom" textRotation="0" wrapText="false" shrinkToFit="false"/>
    </xf>
    <xf xfId="0" fontId="0" numFmtId="165" fillId="3" borderId="1" applyFont="0" applyNumberFormat="1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3" borderId="1" applyFont="0" applyNumberFormat="0" applyFill="1" applyBorder="1" applyAlignment="0"/>
    <xf xfId="0" fontId="0" numFmtId="164" fillId="0" borderId="1" applyFont="0" applyNumberFormat="1" applyFill="0" applyBorder="1" applyAlignment="0"/>
    <xf xfId="0" fontId="0" numFmtId="164" fillId="3" borderId="1" applyFont="0" applyNumberFormat="1" applyFill="1" applyBorder="1" applyAlignment="0"/>
    <xf xfId="0" fontId="0" numFmtId="10" fillId="0" borderId="1" applyFont="0" applyNumberFormat="1" applyFill="0" applyBorder="1" applyAlignment="0"/>
    <xf xfId="0" fontId="0" numFmtId="10" fillId="3" borderId="1" applyFont="0" applyNumberFormat="1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N218"/>
  <sheetViews>
    <sheetView tabSelected="1" workbookViewId="0" showGridLines="true" showRowColHeaders="1">
      <selection activeCell="A1" sqref="A1:N217"/>
    </sheetView>
  </sheetViews>
  <sheetFormatPr defaultRowHeight="14.4" outlineLevelRow="0" outlineLevelCol="0"/>
  <cols>
    <col min="1" max="1" width="15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  <col min="14" max="14" width="15" customWidth="true" style="0"/>
  </cols>
  <sheetData>
    <row r="1" spans="1:14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>
      <c r="A2" s="3"/>
      <c r="B2" s="3"/>
      <c r="C2" s="3"/>
      <c r="D2" s="3"/>
      <c r="E2" s="3"/>
      <c r="F2" s="3"/>
      <c r="G2" s="3"/>
      <c r="H2" s="3"/>
      <c r="I2" s="3" t="s">
        <v>9</v>
      </c>
      <c r="J2" s="3"/>
      <c r="K2" s="3"/>
      <c r="L2" s="3" t="s">
        <v>10</v>
      </c>
      <c r="M2" s="3"/>
      <c r="N2" s="3"/>
    </row>
    <row r="3" spans="1:14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11</v>
      </c>
      <c r="J3" s="3" t="s">
        <v>12</v>
      </c>
      <c r="K3" s="3" t="s">
        <v>13</v>
      </c>
      <c r="L3" s="3" t="s">
        <v>11</v>
      </c>
      <c r="M3" s="3" t="s">
        <v>12</v>
      </c>
      <c r="N3" s="3" t="s">
        <v>13</v>
      </c>
    </row>
    <row r="4" spans="1:14">
      <c r="A4" s="4" t="s">
        <v>14</v>
      </c>
      <c r="B4" s="4" t="s">
        <v>15</v>
      </c>
      <c r="C4" s="4" t="s">
        <v>16</v>
      </c>
      <c r="D4" s="6">
        <v>2609.15999999999985</v>
      </c>
      <c r="E4" s="8" t="s">
        <v>17</v>
      </c>
      <c r="F4" s="10"/>
      <c r="G4" s="10" t="s">
        <v>17</v>
      </c>
      <c r="H4" s="6">
        <v>74000.0</v>
      </c>
      <c r="I4" s="12">
        <v>50</v>
      </c>
      <c r="J4" s="14">
        <v>72001</v>
      </c>
      <c r="K4" s="16">
        <f>(D4/H4)</f>
        <v>0.035258918918919</v>
      </c>
      <c r="L4" s="12">
        <v>9</v>
      </c>
      <c r="M4" s="14">
        <v>74000</v>
      </c>
      <c r="N4" s="16">
        <f>(D4/H4)</f>
        <v>0.035258918918919</v>
      </c>
    </row>
    <row r="5" spans="1:14">
      <c r="A5" s="5" t="s">
        <v>14</v>
      </c>
      <c r="B5" s="5" t="s">
        <v>15</v>
      </c>
      <c r="C5" s="5" t="s">
        <v>16</v>
      </c>
      <c r="D5" s="7">
        <v>2609.15999999999985</v>
      </c>
      <c r="E5" s="9" t="s">
        <v>17</v>
      </c>
      <c r="F5" s="11"/>
      <c r="G5" s="11" t="s">
        <v>17</v>
      </c>
      <c r="H5" s="7">
        <v>74000.0</v>
      </c>
      <c r="I5" s="13">
        <v>1000</v>
      </c>
      <c r="J5" s="15">
        <v>72000</v>
      </c>
      <c r="K5" s="17">
        <f>(D5/H5)</f>
        <v>0.035258918918919</v>
      </c>
      <c r="L5" s="13">
        <v>5</v>
      </c>
      <c r="M5" s="15">
        <v>75500</v>
      </c>
      <c r="N5" s="17">
        <f>(D5/H5)</f>
        <v>0.035258918918919</v>
      </c>
    </row>
    <row r="6" spans="1:14">
      <c r="A6" s="4" t="s">
        <v>14</v>
      </c>
      <c r="B6" s="4" t="s">
        <v>15</v>
      </c>
      <c r="C6" s="4" t="s">
        <v>16</v>
      </c>
      <c r="D6" s="6">
        <v>2609.15999999999985</v>
      </c>
      <c r="E6" s="8" t="s">
        <v>17</v>
      </c>
      <c r="F6" s="10"/>
      <c r="G6" s="10" t="s">
        <v>17</v>
      </c>
      <c r="H6" s="6">
        <v>74000.0</v>
      </c>
      <c r="I6" s="12">
        <v>26</v>
      </c>
      <c r="J6" s="14">
        <v>71500</v>
      </c>
      <c r="K6" s="16">
        <f>(D6/H6)</f>
        <v>0.035258918918919</v>
      </c>
      <c r="L6" s="12">
        <v>1</v>
      </c>
      <c r="M6" s="14">
        <v>76000</v>
      </c>
      <c r="N6" s="16">
        <f>(D6/H6)</f>
        <v>0.035258918918919</v>
      </c>
    </row>
    <row r="7" spans="1:14">
      <c r="A7" s="5" t="s">
        <v>14</v>
      </c>
      <c r="B7" s="5" t="s">
        <v>15</v>
      </c>
      <c r="C7" s="5" t="s">
        <v>16</v>
      </c>
      <c r="D7" s="7">
        <v>2609.15999999999985</v>
      </c>
      <c r="E7" s="9" t="s">
        <v>17</v>
      </c>
      <c r="F7" s="11"/>
      <c r="G7" s="11" t="s">
        <v>17</v>
      </c>
      <c r="H7" s="7">
        <v>74000.0</v>
      </c>
      <c r="I7" s="13">
        <v>3</v>
      </c>
      <c r="J7" s="15">
        <v>70000</v>
      </c>
      <c r="K7" s="17">
        <f>(D7/H7)</f>
        <v>0.035258918918919</v>
      </c>
      <c r="L7" s="13">
        <v>90</v>
      </c>
      <c r="M7" s="15">
        <v>77500</v>
      </c>
      <c r="N7" s="17">
        <f>(D7/H7)</f>
        <v>0.035258918918919</v>
      </c>
    </row>
    <row r="8" spans="1:14">
      <c r="A8" s="4" t="s">
        <v>14</v>
      </c>
      <c r="B8" s="4" t="s">
        <v>15</v>
      </c>
      <c r="C8" s="4" t="s">
        <v>16</v>
      </c>
      <c r="D8" s="6">
        <v>2609.15999999999985</v>
      </c>
      <c r="E8" s="8" t="s">
        <v>17</v>
      </c>
      <c r="F8" s="10"/>
      <c r="G8" s="10" t="s">
        <v>17</v>
      </c>
      <c r="H8" s="6">
        <v>74000.0</v>
      </c>
      <c r="I8" s="12">
        <v>9</v>
      </c>
      <c r="J8" s="14">
        <v>69950</v>
      </c>
      <c r="K8" s="16">
        <f>(D8/H8)</f>
        <v>0.035258918918919</v>
      </c>
      <c r="L8" s="12">
        <v>7881</v>
      </c>
      <c r="M8" s="14">
        <v>78000</v>
      </c>
      <c r="N8" s="16">
        <f>(D8/H8)</f>
        <v>0.035258918918919</v>
      </c>
    </row>
    <row r="9" spans="1:14">
      <c r="A9" s="5" t="s">
        <v>14</v>
      </c>
      <c r="B9" s="5" t="s">
        <v>15</v>
      </c>
      <c r="C9" s="5" t="s">
        <v>16</v>
      </c>
      <c r="D9" s="7">
        <v>2609.15999999999985</v>
      </c>
      <c r="E9" s="9" t="s">
        <v>17</v>
      </c>
      <c r="F9" s="11"/>
      <c r="G9" s="11" t="s">
        <v>17</v>
      </c>
      <c r="H9" s="7">
        <v>74000.0</v>
      </c>
      <c r="I9" s="13">
        <v>1</v>
      </c>
      <c r="J9" s="15">
        <v>68700</v>
      </c>
      <c r="K9" s="17">
        <f>(D9/H9)</f>
        <v>0.035258918918919</v>
      </c>
      <c r="L9" s="13">
        <v>531</v>
      </c>
      <c r="M9" s="15">
        <v>80000</v>
      </c>
      <c r="N9" s="17">
        <f>(D9/H9)</f>
        <v>0.035258918918919</v>
      </c>
    </row>
    <row r="10" spans="1:14">
      <c r="A10" s="4" t="s">
        <v>14</v>
      </c>
      <c r="B10" s="4" t="s">
        <v>15</v>
      </c>
      <c r="C10" s="4" t="s">
        <v>16</v>
      </c>
      <c r="D10" s="6">
        <v>2609.15999999999985</v>
      </c>
      <c r="E10" s="8" t="s">
        <v>17</v>
      </c>
      <c r="F10" s="10"/>
      <c r="G10" s="10" t="s">
        <v>17</v>
      </c>
      <c r="H10" s="6">
        <v>74000.0</v>
      </c>
      <c r="I10" s="12">
        <v>43</v>
      </c>
      <c r="J10" s="14">
        <v>68000</v>
      </c>
      <c r="K10" s="16">
        <f>(D10/H10)</f>
        <v>0.035258918918919</v>
      </c>
      <c r="L10" s="12">
        <v>1</v>
      </c>
      <c r="M10" s="14">
        <v>81000</v>
      </c>
      <c r="N10" s="16">
        <f>(D10/H10)</f>
        <v>0.035258918918919</v>
      </c>
    </row>
    <row r="11" spans="1:14">
      <c r="A11" s="5" t="s">
        <v>14</v>
      </c>
      <c r="B11" s="5" t="s">
        <v>15</v>
      </c>
      <c r="C11" s="5" t="s">
        <v>16</v>
      </c>
      <c r="D11" s="7">
        <v>2609.15999999999985</v>
      </c>
      <c r="E11" s="9" t="s">
        <v>17</v>
      </c>
      <c r="F11" s="11"/>
      <c r="G11" s="11" t="s">
        <v>17</v>
      </c>
      <c r="H11" s="7">
        <v>74000.0</v>
      </c>
      <c r="I11" s="13">
        <v>3</v>
      </c>
      <c r="J11" s="15">
        <v>67000</v>
      </c>
      <c r="K11" s="17">
        <f>(D11/H11)</f>
        <v>0.035258918918919</v>
      </c>
      <c r="L11" s="13">
        <v>10</v>
      </c>
      <c r="M11" s="15">
        <v>82000</v>
      </c>
      <c r="N11" s="17">
        <f>(D11/H11)</f>
        <v>0.035258918918919</v>
      </c>
    </row>
    <row r="12" spans="1:14">
      <c r="A12" s="4" t="s">
        <v>14</v>
      </c>
      <c r="B12" s="4" t="s">
        <v>15</v>
      </c>
      <c r="C12" s="4" t="s">
        <v>16</v>
      </c>
      <c r="D12" s="6">
        <v>2609.15999999999985</v>
      </c>
      <c r="E12" s="8" t="s">
        <v>17</v>
      </c>
      <c r="F12" s="10"/>
      <c r="G12" s="10" t="s">
        <v>17</v>
      </c>
      <c r="H12" s="6">
        <v>74000.0</v>
      </c>
      <c r="I12" s="12">
        <v>6</v>
      </c>
      <c r="J12" s="14">
        <v>66000</v>
      </c>
      <c r="K12" s="16">
        <f>(D12/H12)</f>
        <v>0.035258918918919</v>
      </c>
      <c r="L12" s="12" t="s">
        <v>18</v>
      </c>
      <c r="M12" s="14" t="s">
        <v>18</v>
      </c>
      <c r="N12" s="16" t="s">
        <v>18</v>
      </c>
    </row>
    <row r="13" spans="1:14">
      <c r="A13" s="5" t="s">
        <v>14</v>
      </c>
      <c r="B13" s="5" t="s">
        <v>15</v>
      </c>
      <c r="C13" s="5" t="s">
        <v>16</v>
      </c>
      <c r="D13" s="7">
        <v>2609.15999999999985</v>
      </c>
      <c r="E13" s="9" t="s">
        <v>17</v>
      </c>
      <c r="F13" s="11"/>
      <c r="G13" s="11" t="s">
        <v>17</v>
      </c>
      <c r="H13" s="7">
        <v>74000.0</v>
      </c>
      <c r="I13" s="13">
        <v>1</v>
      </c>
      <c r="J13" s="15">
        <v>65500</v>
      </c>
      <c r="K13" s="17">
        <f>(D13/H13)</f>
        <v>0.035258918918919</v>
      </c>
      <c r="L13" s="13" t="s">
        <v>18</v>
      </c>
      <c r="M13" s="15" t="s">
        <v>18</v>
      </c>
      <c r="N13" s="17" t="s">
        <v>18</v>
      </c>
    </row>
    <row r="14" spans="1:14">
      <c r="A14" s="4" t="s">
        <v>14</v>
      </c>
      <c r="B14" s="4" t="s">
        <v>15</v>
      </c>
      <c r="C14" s="4" t="s">
        <v>16</v>
      </c>
      <c r="D14" s="6">
        <v>2609.15999999999985</v>
      </c>
      <c r="E14" s="8" t="s">
        <v>17</v>
      </c>
      <c r="F14" s="10"/>
      <c r="G14" s="10" t="s">
        <v>17</v>
      </c>
      <c r="H14" s="6">
        <v>74000.0</v>
      </c>
      <c r="I14" s="12">
        <v>15</v>
      </c>
      <c r="J14" s="14">
        <v>65000</v>
      </c>
      <c r="K14" s="16">
        <f>(D14/H14)</f>
        <v>0.035258918918919</v>
      </c>
      <c r="L14" s="12" t="s">
        <v>18</v>
      </c>
      <c r="M14" s="14" t="s">
        <v>18</v>
      </c>
      <c r="N14" s="16" t="s">
        <v>18</v>
      </c>
    </row>
    <row r="15" spans="1:14">
      <c r="A15" s="5" t="s">
        <v>19</v>
      </c>
      <c r="B15" s="5" t="s">
        <v>20</v>
      </c>
      <c r="C15" s="5" t="s">
        <v>16</v>
      </c>
      <c r="D15" s="7">
        <v>7601.090000000000146</v>
      </c>
      <c r="E15" s="9" t="s">
        <v>17</v>
      </c>
      <c r="F15" s="11"/>
      <c r="G15" s="11" t="s">
        <v>17</v>
      </c>
      <c r="H15" s="7">
        <v>109700.0</v>
      </c>
      <c r="I15" s="13">
        <v>1</v>
      </c>
      <c r="J15" s="15">
        <v>105000</v>
      </c>
      <c r="K15" s="17">
        <f>(D15/H15)</f>
        <v>0.069289790337283</v>
      </c>
      <c r="L15" s="13">
        <v>3</v>
      </c>
      <c r="M15" s="15">
        <v>109400</v>
      </c>
      <c r="N15" s="17">
        <f>(D15/H15)</f>
        <v>0.069289790337283</v>
      </c>
    </row>
    <row r="16" spans="1:14">
      <c r="A16" s="4" t="s">
        <v>19</v>
      </c>
      <c r="B16" s="4" t="s">
        <v>20</v>
      </c>
      <c r="C16" s="4" t="s">
        <v>16</v>
      </c>
      <c r="D16" s="6">
        <v>7601.090000000000146</v>
      </c>
      <c r="E16" s="8" t="s">
        <v>17</v>
      </c>
      <c r="F16" s="10"/>
      <c r="G16" s="10" t="s">
        <v>17</v>
      </c>
      <c r="H16" s="6">
        <v>109700.0</v>
      </c>
      <c r="I16" s="12">
        <v>10</v>
      </c>
      <c r="J16" s="14">
        <v>103125</v>
      </c>
      <c r="K16" s="16">
        <f>(D16/H16)</f>
        <v>0.069289790337283</v>
      </c>
      <c r="L16" s="12">
        <v>398</v>
      </c>
      <c r="M16" s="14">
        <v>109700</v>
      </c>
      <c r="N16" s="16">
        <f>(D16/H16)</f>
        <v>0.069289790337283</v>
      </c>
    </row>
    <row r="17" spans="1:14">
      <c r="A17" s="5" t="s">
        <v>19</v>
      </c>
      <c r="B17" s="5" t="s">
        <v>20</v>
      </c>
      <c r="C17" s="5" t="s">
        <v>16</v>
      </c>
      <c r="D17" s="7">
        <v>7601.090000000000146</v>
      </c>
      <c r="E17" s="9" t="s">
        <v>17</v>
      </c>
      <c r="F17" s="11"/>
      <c r="G17" s="11" t="s">
        <v>17</v>
      </c>
      <c r="H17" s="7">
        <v>109700.0</v>
      </c>
      <c r="I17" s="13">
        <v>60</v>
      </c>
      <c r="J17" s="15">
        <v>101120</v>
      </c>
      <c r="K17" s="17">
        <f>(D17/H17)</f>
        <v>0.069289790337283</v>
      </c>
      <c r="L17" s="13">
        <v>3276</v>
      </c>
      <c r="M17" s="15">
        <v>110000</v>
      </c>
      <c r="N17" s="17">
        <f>(D17/H17)</f>
        <v>0.069289790337283</v>
      </c>
    </row>
    <row r="18" spans="1:14">
      <c r="A18" s="4" t="s">
        <v>19</v>
      </c>
      <c r="B18" s="4" t="s">
        <v>20</v>
      </c>
      <c r="C18" s="4" t="s">
        <v>16</v>
      </c>
      <c r="D18" s="6">
        <v>7601.090000000000146</v>
      </c>
      <c r="E18" s="8" t="s">
        <v>17</v>
      </c>
      <c r="F18" s="10"/>
      <c r="G18" s="10" t="s">
        <v>17</v>
      </c>
      <c r="H18" s="6">
        <v>109700.0</v>
      </c>
      <c r="I18" s="12">
        <v>22</v>
      </c>
      <c r="J18" s="14">
        <v>100000</v>
      </c>
      <c r="K18" s="16">
        <f>(D18/H18)</f>
        <v>0.069289790337283</v>
      </c>
      <c r="L18" s="12">
        <v>4</v>
      </c>
      <c r="M18" s="14">
        <v>111000</v>
      </c>
      <c r="N18" s="16">
        <f>(D18/H18)</f>
        <v>0.069289790337283</v>
      </c>
    </row>
    <row r="19" spans="1:14">
      <c r="A19" s="5" t="s">
        <v>19</v>
      </c>
      <c r="B19" s="5" t="s">
        <v>20</v>
      </c>
      <c r="C19" s="5" t="s">
        <v>16</v>
      </c>
      <c r="D19" s="7">
        <v>7601.090000000000146</v>
      </c>
      <c r="E19" s="9" t="s">
        <v>17</v>
      </c>
      <c r="F19" s="11"/>
      <c r="G19" s="11" t="s">
        <v>17</v>
      </c>
      <c r="H19" s="7">
        <v>109700.0</v>
      </c>
      <c r="I19" s="13">
        <v>50</v>
      </c>
      <c r="J19" s="15">
        <v>98520</v>
      </c>
      <c r="K19" s="17">
        <f>(D19/H19)</f>
        <v>0.069289790337283</v>
      </c>
      <c r="L19" s="13">
        <v>89</v>
      </c>
      <c r="M19" s="15">
        <v>114500</v>
      </c>
      <c r="N19" s="17">
        <f>(D19/H19)</f>
        <v>0.069289790337283</v>
      </c>
    </row>
    <row r="20" spans="1:14">
      <c r="A20" s="4" t="s">
        <v>19</v>
      </c>
      <c r="B20" s="4" t="s">
        <v>20</v>
      </c>
      <c r="C20" s="4" t="s">
        <v>16</v>
      </c>
      <c r="D20" s="6">
        <v>7601.090000000000146</v>
      </c>
      <c r="E20" s="8" t="s">
        <v>17</v>
      </c>
      <c r="F20" s="10"/>
      <c r="G20" s="10" t="s">
        <v>17</v>
      </c>
      <c r="H20" s="6">
        <v>109700.0</v>
      </c>
      <c r="I20" s="12">
        <v>2</v>
      </c>
      <c r="J20" s="14">
        <v>98499</v>
      </c>
      <c r="K20" s="16">
        <f>(D20/H20)</f>
        <v>0.069289790337283</v>
      </c>
      <c r="L20" s="12">
        <v>45</v>
      </c>
      <c r="M20" s="14">
        <v>115000</v>
      </c>
      <c r="N20" s="16">
        <f>(D20/H20)</f>
        <v>0.069289790337283</v>
      </c>
    </row>
    <row r="21" spans="1:14">
      <c r="A21" s="5" t="s">
        <v>19</v>
      </c>
      <c r="B21" s="5" t="s">
        <v>20</v>
      </c>
      <c r="C21" s="5" t="s">
        <v>16</v>
      </c>
      <c r="D21" s="7">
        <v>7601.090000000000146</v>
      </c>
      <c r="E21" s="9" t="s">
        <v>17</v>
      </c>
      <c r="F21" s="11"/>
      <c r="G21" s="11" t="s">
        <v>17</v>
      </c>
      <c r="H21" s="7">
        <v>109700.0</v>
      </c>
      <c r="I21" s="13">
        <v>15</v>
      </c>
      <c r="J21" s="15">
        <v>95000</v>
      </c>
      <c r="K21" s="17">
        <f>(D21/H21)</f>
        <v>0.069289790337283</v>
      </c>
      <c r="L21" s="13">
        <v>699</v>
      </c>
      <c r="M21" s="15">
        <v>116000</v>
      </c>
      <c r="N21" s="17">
        <f>(D21/H21)</f>
        <v>0.069289790337283</v>
      </c>
    </row>
    <row r="22" spans="1:14">
      <c r="A22" s="4" t="s">
        <v>19</v>
      </c>
      <c r="B22" s="4" t="s">
        <v>20</v>
      </c>
      <c r="C22" s="4" t="s">
        <v>16</v>
      </c>
      <c r="D22" s="6">
        <v>7601.090000000000146</v>
      </c>
      <c r="E22" s="8" t="s">
        <v>17</v>
      </c>
      <c r="F22" s="10"/>
      <c r="G22" s="10" t="s">
        <v>17</v>
      </c>
      <c r="H22" s="6">
        <v>109700.0</v>
      </c>
      <c r="I22" s="12" t="s">
        <v>18</v>
      </c>
      <c r="J22" s="14" t="s">
        <v>18</v>
      </c>
      <c r="K22" s="16" t="s">
        <v>18</v>
      </c>
      <c r="L22" s="12">
        <v>10</v>
      </c>
      <c r="M22" s="14">
        <v>120000</v>
      </c>
      <c r="N22" s="16">
        <f>(D22/H22)</f>
        <v>0.069289790337283</v>
      </c>
    </row>
    <row r="23" spans="1:14">
      <c r="A23" s="5" t="s">
        <v>21</v>
      </c>
      <c r="B23" s="5" t="s">
        <v>22</v>
      </c>
      <c r="C23" s="5" t="s">
        <v>16</v>
      </c>
      <c r="D23" s="7">
        <v>1081.51999999999998</v>
      </c>
      <c r="E23" s="9" t="s">
        <v>17</v>
      </c>
      <c r="F23" s="11"/>
      <c r="G23" s="11" t="s">
        <v>17</v>
      </c>
      <c r="H23" s="7">
        <v>24000.0</v>
      </c>
      <c r="I23" s="13">
        <v>163</v>
      </c>
      <c r="J23" s="15">
        <v>23900</v>
      </c>
      <c r="K23" s="17">
        <f>(D23/H23)</f>
        <v>0.045063333333333</v>
      </c>
      <c r="L23" s="13">
        <v>48</v>
      </c>
      <c r="M23" s="15">
        <v>24000</v>
      </c>
      <c r="N23" s="17">
        <f>(D23/H23)</f>
        <v>0.045063333333333</v>
      </c>
    </row>
    <row r="24" spans="1:14">
      <c r="A24" s="4" t="s">
        <v>21</v>
      </c>
      <c r="B24" s="4" t="s">
        <v>22</v>
      </c>
      <c r="C24" s="4" t="s">
        <v>16</v>
      </c>
      <c r="D24" s="6">
        <v>1081.51999999999998</v>
      </c>
      <c r="E24" s="8" t="s">
        <v>17</v>
      </c>
      <c r="F24" s="10"/>
      <c r="G24" s="10" t="s">
        <v>17</v>
      </c>
      <c r="H24" s="6">
        <v>24000.0</v>
      </c>
      <c r="I24" s="12">
        <v>2</v>
      </c>
      <c r="J24" s="14">
        <v>23800</v>
      </c>
      <c r="K24" s="16">
        <f>(D24/H24)</f>
        <v>0.045063333333333</v>
      </c>
      <c r="L24" s="12">
        <v>25</v>
      </c>
      <c r="M24" s="14">
        <v>24300</v>
      </c>
      <c r="N24" s="16">
        <f>(D24/H24)</f>
        <v>0.045063333333333</v>
      </c>
    </row>
    <row r="25" spans="1:14">
      <c r="A25" s="5" t="s">
        <v>21</v>
      </c>
      <c r="B25" s="5" t="s">
        <v>22</v>
      </c>
      <c r="C25" s="5" t="s">
        <v>16</v>
      </c>
      <c r="D25" s="7">
        <v>1081.51999999999998</v>
      </c>
      <c r="E25" s="9" t="s">
        <v>17</v>
      </c>
      <c r="F25" s="11"/>
      <c r="G25" s="11" t="s">
        <v>17</v>
      </c>
      <c r="H25" s="7">
        <v>24000.0</v>
      </c>
      <c r="I25" s="13">
        <v>19</v>
      </c>
      <c r="J25" s="15">
        <v>23799</v>
      </c>
      <c r="K25" s="17">
        <f>(D25/H25)</f>
        <v>0.045063333333333</v>
      </c>
      <c r="L25" s="13">
        <v>839</v>
      </c>
      <c r="M25" s="15">
        <v>25000</v>
      </c>
      <c r="N25" s="17">
        <f>(D25/H25)</f>
        <v>0.045063333333333</v>
      </c>
    </row>
    <row r="26" spans="1:14">
      <c r="A26" s="4" t="s">
        <v>21</v>
      </c>
      <c r="B26" s="4" t="s">
        <v>22</v>
      </c>
      <c r="C26" s="4" t="s">
        <v>16</v>
      </c>
      <c r="D26" s="6">
        <v>1081.51999999999998</v>
      </c>
      <c r="E26" s="8" t="s">
        <v>17</v>
      </c>
      <c r="F26" s="10"/>
      <c r="G26" s="10" t="s">
        <v>17</v>
      </c>
      <c r="H26" s="6">
        <v>24000.0</v>
      </c>
      <c r="I26" s="12">
        <v>1</v>
      </c>
      <c r="J26" s="14">
        <v>23750</v>
      </c>
      <c r="K26" s="16">
        <f>(D26/H26)</f>
        <v>0.045063333333333</v>
      </c>
      <c r="L26" s="12">
        <v>100</v>
      </c>
      <c r="M26" s="14">
        <v>25500</v>
      </c>
      <c r="N26" s="16">
        <f>(D26/H26)</f>
        <v>0.045063333333333</v>
      </c>
    </row>
    <row r="27" spans="1:14">
      <c r="A27" s="5" t="s">
        <v>21</v>
      </c>
      <c r="B27" s="5" t="s">
        <v>22</v>
      </c>
      <c r="C27" s="5" t="s">
        <v>16</v>
      </c>
      <c r="D27" s="7">
        <v>1081.51999999999998</v>
      </c>
      <c r="E27" s="9" t="s">
        <v>17</v>
      </c>
      <c r="F27" s="11"/>
      <c r="G27" s="11" t="s">
        <v>17</v>
      </c>
      <c r="H27" s="7">
        <v>24000.0</v>
      </c>
      <c r="I27" s="13">
        <v>10</v>
      </c>
      <c r="J27" s="15">
        <v>23650</v>
      </c>
      <c r="K27" s="17">
        <f>(D27/H27)</f>
        <v>0.045063333333333</v>
      </c>
      <c r="L27" s="13">
        <v>13</v>
      </c>
      <c r="M27" s="15">
        <v>26000</v>
      </c>
      <c r="N27" s="17">
        <f>(D27/H27)</f>
        <v>0.045063333333333</v>
      </c>
    </row>
    <row r="28" spans="1:14">
      <c r="A28" s="4" t="s">
        <v>21</v>
      </c>
      <c r="B28" s="4" t="s">
        <v>22</v>
      </c>
      <c r="C28" s="4" t="s">
        <v>16</v>
      </c>
      <c r="D28" s="6">
        <v>1081.51999999999998</v>
      </c>
      <c r="E28" s="8" t="s">
        <v>17</v>
      </c>
      <c r="F28" s="10"/>
      <c r="G28" s="10" t="s">
        <v>17</v>
      </c>
      <c r="H28" s="6">
        <v>24000.0</v>
      </c>
      <c r="I28" s="12">
        <v>167</v>
      </c>
      <c r="J28" s="14">
        <v>23500</v>
      </c>
      <c r="K28" s="16">
        <f>(D28/H28)</f>
        <v>0.045063333333333</v>
      </c>
      <c r="L28" s="12">
        <v>38</v>
      </c>
      <c r="M28" s="14">
        <v>27500</v>
      </c>
      <c r="N28" s="16">
        <f>(D28/H28)</f>
        <v>0.045063333333333</v>
      </c>
    </row>
    <row r="29" spans="1:14">
      <c r="A29" s="5" t="s">
        <v>21</v>
      </c>
      <c r="B29" s="5" t="s">
        <v>22</v>
      </c>
      <c r="C29" s="5" t="s">
        <v>16</v>
      </c>
      <c r="D29" s="7">
        <v>1081.51999999999998</v>
      </c>
      <c r="E29" s="9" t="s">
        <v>17</v>
      </c>
      <c r="F29" s="11"/>
      <c r="G29" s="11" t="s">
        <v>17</v>
      </c>
      <c r="H29" s="7">
        <v>24000.0</v>
      </c>
      <c r="I29" s="13">
        <v>69</v>
      </c>
      <c r="J29" s="15">
        <v>23000</v>
      </c>
      <c r="K29" s="17">
        <f>(D29/H29)</f>
        <v>0.045063333333333</v>
      </c>
      <c r="L29" s="13">
        <v>21174</v>
      </c>
      <c r="M29" s="15">
        <v>28000</v>
      </c>
      <c r="N29" s="17">
        <f>(D29/H29)</f>
        <v>0.045063333333333</v>
      </c>
    </row>
    <row r="30" spans="1:14">
      <c r="A30" s="4" t="s">
        <v>21</v>
      </c>
      <c r="B30" s="4" t="s">
        <v>22</v>
      </c>
      <c r="C30" s="4" t="s">
        <v>16</v>
      </c>
      <c r="D30" s="6">
        <v>1081.51999999999998</v>
      </c>
      <c r="E30" s="8" t="s">
        <v>17</v>
      </c>
      <c r="F30" s="10"/>
      <c r="G30" s="10" t="s">
        <v>17</v>
      </c>
      <c r="H30" s="6">
        <v>24000.0</v>
      </c>
      <c r="I30" s="12">
        <v>28</v>
      </c>
      <c r="J30" s="14">
        <v>22700</v>
      </c>
      <c r="K30" s="16">
        <f>(D30/H30)</f>
        <v>0.045063333333333</v>
      </c>
      <c r="L30" s="12">
        <v>589</v>
      </c>
      <c r="M30" s="14">
        <v>28500</v>
      </c>
      <c r="N30" s="16">
        <f>(D30/H30)</f>
        <v>0.045063333333333</v>
      </c>
    </row>
    <row r="31" spans="1:14">
      <c r="A31" s="5" t="s">
        <v>21</v>
      </c>
      <c r="B31" s="5" t="s">
        <v>22</v>
      </c>
      <c r="C31" s="5" t="s">
        <v>16</v>
      </c>
      <c r="D31" s="7">
        <v>1081.51999999999998</v>
      </c>
      <c r="E31" s="9" t="s">
        <v>17</v>
      </c>
      <c r="F31" s="11"/>
      <c r="G31" s="11" t="s">
        <v>17</v>
      </c>
      <c r="H31" s="7">
        <v>24000.0</v>
      </c>
      <c r="I31" s="13">
        <v>175</v>
      </c>
      <c r="J31" s="15">
        <v>22500</v>
      </c>
      <c r="K31" s="17">
        <f>(D31/H31)</f>
        <v>0.045063333333333</v>
      </c>
      <c r="L31" s="13" t="s">
        <v>18</v>
      </c>
      <c r="M31" s="15" t="s">
        <v>18</v>
      </c>
      <c r="N31" s="17" t="s">
        <v>18</v>
      </c>
    </row>
    <row r="32" spans="1:14">
      <c r="A32" s="4" t="s">
        <v>21</v>
      </c>
      <c r="B32" s="4" t="s">
        <v>22</v>
      </c>
      <c r="C32" s="4" t="s">
        <v>16</v>
      </c>
      <c r="D32" s="6">
        <v>1081.51999999999998</v>
      </c>
      <c r="E32" s="8" t="s">
        <v>17</v>
      </c>
      <c r="F32" s="10"/>
      <c r="G32" s="10" t="s">
        <v>17</v>
      </c>
      <c r="H32" s="6">
        <v>24000.0</v>
      </c>
      <c r="I32" s="12">
        <v>1</v>
      </c>
      <c r="J32" s="14">
        <v>22000</v>
      </c>
      <c r="K32" s="16">
        <f>(D32/H32)</f>
        <v>0.045063333333333</v>
      </c>
      <c r="L32" s="12" t="s">
        <v>18</v>
      </c>
      <c r="M32" s="14" t="s">
        <v>18</v>
      </c>
      <c r="N32" s="16" t="s">
        <v>18</v>
      </c>
    </row>
    <row r="33" spans="1:14">
      <c r="A33" s="5" t="s">
        <v>21</v>
      </c>
      <c r="B33" s="5" t="s">
        <v>22</v>
      </c>
      <c r="C33" s="5" t="s">
        <v>16</v>
      </c>
      <c r="D33" s="7">
        <v>1081.51999999999998</v>
      </c>
      <c r="E33" s="9" t="s">
        <v>17</v>
      </c>
      <c r="F33" s="11"/>
      <c r="G33" s="11" t="s">
        <v>17</v>
      </c>
      <c r="H33" s="7">
        <v>24000.0</v>
      </c>
      <c r="I33" s="13">
        <v>2</v>
      </c>
      <c r="J33" s="15">
        <v>21000</v>
      </c>
      <c r="K33" s="17">
        <f>(D33/H33)</f>
        <v>0.045063333333333</v>
      </c>
      <c r="L33" s="13" t="s">
        <v>18</v>
      </c>
      <c r="M33" s="15" t="s">
        <v>18</v>
      </c>
      <c r="N33" s="17" t="s">
        <v>18</v>
      </c>
    </row>
    <row r="34" spans="1:14">
      <c r="A34" s="4" t="s">
        <v>21</v>
      </c>
      <c r="B34" s="4" t="s">
        <v>22</v>
      </c>
      <c r="C34" s="4" t="s">
        <v>16</v>
      </c>
      <c r="D34" s="6">
        <v>1081.51999999999998</v>
      </c>
      <c r="E34" s="8" t="s">
        <v>17</v>
      </c>
      <c r="F34" s="10"/>
      <c r="G34" s="10" t="s">
        <v>17</v>
      </c>
      <c r="H34" s="6">
        <v>24000.0</v>
      </c>
      <c r="I34" s="12">
        <v>6</v>
      </c>
      <c r="J34" s="14">
        <v>20000</v>
      </c>
      <c r="K34" s="16">
        <f>(D34/H34)</f>
        <v>0.045063333333333</v>
      </c>
      <c r="L34" s="12" t="s">
        <v>18</v>
      </c>
      <c r="M34" s="14" t="s">
        <v>18</v>
      </c>
      <c r="N34" s="16" t="s">
        <v>18</v>
      </c>
    </row>
    <row r="35" spans="1:14">
      <c r="A35" s="5" t="s">
        <v>23</v>
      </c>
      <c r="B35" s="5" t="s">
        <v>24</v>
      </c>
      <c r="C35" s="5" t="s">
        <v>16</v>
      </c>
      <c r="D35" s="7">
        <v>1616.73000000000002</v>
      </c>
      <c r="E35" s="9" t="s">
        <v>17</v>
      </c>
      <c r="F35" s="11"/>
      <c r="G35" s="11" t="s">
        <v>17</v>
      </c>
      <c r="H35" s="7">
        <v>35000.0</v>
      </c>
      <c r="I35" s="13">
        <v>1879</v>
      </c>
      <c r="J35" s="15">
        <v>34000</v>
      </c>
      <c r="K35" s="17">
        <f>(D35/H35)</f>
        <v>0.046192285714286</v>
      </c>
      <c r="L35" s="13">
        <v>3</v>
      </c>
      <c r="M35" s="15">
        <v>34800</v>
      </c>
      <c r="N35" s="17">
        <f>(D35/H35)</f>
        <v>0.046192285714286</v>
      </c>
    </row>
    <row r="36" spans="1:14">
      <c r="A36" s="4" t="s">
        <v>23</v>
      </c>
      <c r="B36" s="4" t="s">
        <v>24</v>
      </c>
      <c r="C36" s="4" t="s">
        <v>16</v>
      </c>
      <c r="D36" s="6">
        <v>1616.73000000000002</v>
      </c>
      <c r="E36" s="8" t="s">
        <v>17</v>
      </c>
      <c r="F36" s="10"/>
      <c r="G36" s="10" t="s">
        <v>17</v>
      </c>
      <c r="H36" s="6">
        <v>35000.0</v>
      </c>
      <c r="I36" s="12">
        <v>12082</v>
      </c>
      <c r="J36" s="14">
        <v>33000</v>
      </c>
      <c r="K36" s="16">
        <f>(D36/H36)</f>
        <v>0.046192285714286</v>
      </c>
      <c r="L36" s="12">
        <v>6962</v>
      </c>
      <c r="M36" s="14">
        <v>35000</v>
      </c>
      <c r="N36" s="16">
        <f>(D36/H36)</f>
        <v>0.046192285714286</v>
      </c>
    </row>
    <row r="37" spans="1:14">
      <c r="A37" s="5" t="s">
        <v>23</v>
      </c>
      <c r="B37" s="5" t="s">
        <v>24</v>
      </c>
      <c r="C37" s="5" t="s">
        <v>16</v>
      </c>
      <c r="D37" s="7">
        <v>1616.73000000000002</v>
      </c>
      <c r="E37" s="9" t="s">
        <v>17</v>
      </c>
      <c r="F37" s="11"/>
      <c r="G37" s="11" t="s">
        <v>17</v>
      </c>
      <c r="H37" s="7">
        <v>35000.0</v>
      </c>
      <c r="I37" s="13">
        <v>20</v>
      </c>
      <c r="J37" s="15">
        <v>32800</v>
      </c>
      <c r="K37" s="17">
        <f>(D37/H37)</f>
        <v>0.046192285714286</v>
      </c>
      <c r="L37" s="13">
        <v>3</v>
      </c>
      <c r="M37" s="15">
        <v>35500</v>
      </c>
      <c r="N37" s="17">
        <f>(D37/H37)</f>
        <v>0.046192285714286</v>
      </c>
    </row>
    <row r="38" spans="1:14">
      <c r="A38" s="4" t="s">
        <v>23</v>
      </c>
      <c r="B38" s="4" t="s">
        <v>24</v>
      </c>
      <c r="C38" s="4" t="s">
        <v>16</v>
      </c>
      <c r="D38" s="6">
        <v>1616.73000000000002</v>
      </c>
      <c r="E38" s="8" t="s">
        <v>17</v>
      </c>
      <c r="F38" s="10"/>
      <c r="G38" s="10" t="s">
        <v>17</v>
      </c>
      <c r="H38" s="6">
        <v>35000.0</v>
      </c>
      <c r="I38" s="12">
        <v>1</v>
      </c>
      <c r="J38" s="14">
        <v>32000</v>
      </c>
      <c r="K38" s="16">
        <f>(D38/H38)</f>
        <v>0.046192285714286</v>
      </c>
      <c r="L38" s="12">
        <v>80</v>
      </c>
      <c r="M38" s="14">
        <v>36000</v>
      </c>
      <c r="N38" s="16">
        <f>(D38/H38)</f>
        <v>0.046192285714286</v>
      </c>
    </row>
    <row r="39" spans="1:14">
      <c r="A39" s="5" t="s">
        <v>23</v>
      </c>
      <c r="B39" s="5" t="s">
        <v>24</v>
      </c>
      <c r="C39" s="5" t="s">
        <v>16</v>
      </c>
      <c r="D39" s="7">
        <v>1616.73000000000002</v>
      </c>
      <c r="E39" s="9" t="s">
        <v>17</v>
      </c>
      <c r="F39" s="11"/>
      <c r="G39" s="11" t="s">
        <v>17</v>
      </c>
      <c r="H39" s="7">
        <v>35000.0</v>
      </c>
      <c r="I39" s="13">
        <v>6</v>
      </c>
      <c r="J39" s="15">
        <v>30000</v>
      </c>
      <c r="K39" s="17">
        <f>(D39/H39)</f>
        <v>0.046192285714286</v>
      </c>
      <c r="L39" s="13">
        <v>4</v>
      </c>
      <c r="M39" s="15">
        <v>36500</v>
      </c>
      <c r="N39" s="17">
        <f>(D39/H39)</f>
        <v>0.046192285714286</v>
      </c>
    </row>
    <row r="40" spans="1:14">
      <c r="A40" s="4" t="s">
        <v>23</v>
      </c>
      <c r="B40" s="4" t="s">
        <v>24</v>
      </c>
      <c r="C40" s="4" t="s">
        <v>16</v>
      </c>
      <c r="D40" s="6">
        <v>1616.73000000000002</v>
      </c>
      <c r="E40" s="8" t="s">
        <v>17</v>
      </c>
      <c r="F40" s="10"/>
      <c r="G40" s="10" t="s">
        <v>17</v>
      </c>
      <c r="H40" s="6">
        <v>35000.0</v>
      </c>
      <c r="I40" s="12" t="s">
        <v>18</v>
      </c>
      <c r="J40" s="14" t="s">
        <v>18</v>
      </c>
      <c r="K40" s="16" t="s">
        <v>18</v>
      </c>
      <c r="L40" s="12">
        <v>6</v>
      </c>
      <c r="M40" s="14">
        <v>37000</v>
      </c>
      <c r="N40" s="16">
        <f>(D40/H40)</f>
        <v>0.046192285714286</v>
      </c>
    </row>
    <row r="41" spans="1:14">
      <c r="A41" s="5" t="s">
        <v>23</v>
      </c>
      <c r="B41" s="5" t="s">
        <v>24</v>
      </c>
      <c r="C41" s="5" t="s">
        <v>16</v>
      </c>
      <c r="D41" s="7">
        <v>1616.73000000000002</v>
      </c>
      <c r="E41" s="9" t="s">
        <v>17</v>
      </c>
      <c r="F41" s="11"/>
      <c r="G41" s="11" t="s">
        <v>17</v>
      </c>
      <c r="H41" s="7">
        <v>35000.0</v>
      </c>
      <c r="I41" s="13" t="s">
        <v>18</v>
      </c>
      <c r="J41" s="15" t="s">
        <v>18</v>
      </c>
      <c r="K41" s="17" t="s">
        <v>18</v>
      </c>
      <c r="L41" s="13">
        <v>2</v>
      </c>
      <c r="M41" s="15">
        <v>39000</v>
      </c>
      <c r="N41" s="17">
        <f>(D41/H41)</f>
        <v>0.046192285714286</v>
      </c>
    </row>
    <row r="42" spans="1:14">
      <c r="A42" s="4" t="s">
        <v>23</v>
      </c>
      <c r="B42" s="4" t="s">
        <v>24</v>
      </c>
      <c r="C42" s="4" t="s">
        <v>16</v>
      </c>
      <c r="D42" s="6">
        <v>1616.73000000000002</v>
      </c>
      <c r="E42" s="8" t="s">
        <v>17</v>
      </c>
      <c r="F42" s="10"/>
      <c r="G42" s="10" t="s">
        <v>17</v>
      </c>
      <c r="H42" s="6">
        <v>35000.0</v>
      </c>
      <c r="I42" s="12" t="s">
        <v>18</v>
      </c>
      <c r="J42" s="14" t="s">
        <v>18</v>
      </c>
      <c r="K42" s="16" t="s">
        <v>18</v>
      </c>
      <c r="L42" s="12">
        <v>5</v>
      </c>
      <c r="M42" s="14">
        <v>40000</v>
      </c>
      <c r="N42" s="16">
        <f>(D42/H42)</f>
        <v>0.046192285714286</v>
      </c>
    </row>
    <row r="43" spans="1:14">
      <c r="A43" s="5" t="s">
        <v>25</v>
      </c>
      <c r="B43" s="5" t="s">
        <v>26</v>
      </c>
      <c r="C43" s="5" t="s">
        <v>16</v>
      </c>
      <c r="D43" s="7">
        <v>9224.8799999999992</v>
      </c>
      <c r="E43" s="9" t="s">
        <v>17</v>
      </c>
      <c r="F43" s="11"/>
      <c r="G43" s="11" t="s">
        <v>17</v>
      </c>
      <c r="H43" s="7">
        <v>107000.0</v>
      </c>
      <c r="I43" s="13">
        <v>1137</v>
      </c>
      <c r="J43" s="15">
        <v>106000</v>
      </c>
      <c r="K43" s="17">
        <f>(D43/H43)</f>
        <v>0.086213831775701</v>
      </c>
      <c r="L43" s="13">
        <v>91</v>
      </c>
      <c r="M43" s="15">
        <v>107000</v>
      </c>
      <c r="N43" s="17">
        <f>(D43/H43)</f>
        <v>0.086213831775701</v>
      </c>
    </row>
    <row r="44" spans="1:14">
      <c r="A44" s="4" t="s">
        <v>25</v>
      </c>
      <c r="B44" s="4" t="s">
        <v>26</v>
      </c>
      <c r="C44" s="4" t="s">
        <v>16</v>
      </c>
      <c r="D44" s="6">
        <v>9224.8799999999992</v>
      </c>
      <c r="E44" s="8" t="s">
        <v>17</v>
      </c>
      <c r="F44" s="10"/>
      <c r="G44" s="10" t="s">
        <v>17</v>
      </c>
      <c r="H44" s="6">
        <v>107000.0</v>
      </c>
      <c r="I44" s="12">
        <v>10</v>
      </c>
      <c r="J44" s="14">
        <v>105000</v>
      </c>
      <c r="K44" s="16">
        <f>(D44/H44)</f>
        <v>0.086213831775701</v>
      </c>
      <c r="L44" s="12">
        <v>5</v>
      </c>
      <c r="M44" s="14">
        <v>107200</v>
      </c>
      <c r="N44" s="16">
        <f>(D44/H44)</f>
        <v>0.086213831775701</v>
      </c>
    </row>
    <row r="45" spans="1:14">
      <c r="A45" s="5" t="s">
        <v>25</v>
      </c>
      <c r="B45" s="5" t="s">
        <v>26</v>
      </c>
      <c r="C45" s="5" t="s">
        <v>16</v>
      </c>
      <c r="D45" s="7">
        <v>9224.8799999999992</v>
      </c>
      <c r="E45" s="9" t="s">
        <v>17</v>
      </c>
      <c r="F45" s="11"/>
      <c r="G45" s="11" t="s">
        <v>17</v>
      </c>
      <c r="H45" s="7">
        <v>107000.0</v>
      </c>
      <c r="I45" s="13">
        <v>95</v>
      </c>
      <c r="J45" s="15">
        <v>104999</v>
      </c>
      <c r="K45" s="17">
        <f>(D45/H45)</f>
        <v>0.086213831775701</v>
      </c>
      <c r="L45" s="13">
        <v>1</v>
      </c>
      <c r="M45" s="15">
        <v>107570</v>
      </c>
      <c r="N45" s="17">
        <f>(D45/H45)</f>
        <v>0.086213831775701</v>
      </c>
    </row>
    <row r="46" spans="1:14">
      <c r="A46" s="4" t="s">
        <v>25</v>
      </c>
      <c r="B46" s="4" t="s">
        <v>26</v>
      </c>
      <c r="C46" s="4" t="s">
        <v>16</v>
      </c>
      <c r="D46" s="6">
        <v>9224.8799999999992</v>
      </c>
      <c r="E46" s="8" t="s">
        <v>17</v>
      </c>
      <c r="F46" s="10"/>
      <c r="G46" s="10" t="s">
        <v>17</v>
      </c>
      <c r="H46" s="6">
        <v>107000.0</v>
      </c>
      <c r="I46" s="12">
        <v>20</v>
      </c>
      <c r="J46" s="14">
        <v>103000</v>
      </c>
      <c r="K46" s="16">
        <f>(D46/H46)</f>
        <v>0.086213831775701</v>
      </c>
      <c r="L46" s="12">
        <v>31</v>
      </c>
      <c r="M46" s="14">
        <v>108000</v>
      </c>
      <c r="N46" s="16">
        <f>(D46/H46)</f>
        <v>0.086213831775701</v>
      </c>
    </row>
    <row r="47" spans="1:14">
      <c r="A47" s="5" t="s">
        <v>25</v>
      </c>
      <c r="B47" s="5" t="s">
        <v>26</v>
      </c>
      <c r="C47" s="5" t="s">
        <v>16</v>
      </c>
      <c r="D47" s="7">
        <v>9224.8799999999992</v>
      </c>
      <c r="E47" s="9" t="s">
        <v>17</v>
      </c>
      <c r="F47" s="11"/>
      <c r="G47" s="11" t="s">
        <v>17</v>
      </c>
      <c r="H47" s="7">
        <v>107000.0</v>
      </c>
      <c r="I47" s="13">
        <v>4</v>
      </c>
      <c r="J47" s="15">
        <v>102000</v>
      </c>
      <c r="K47" s="17">
        <f>(D47/H47)</f>
        <v>0.086213831775701</v>
      </c>
      <c r="L47" s="13">
        <v>42</v>
      </c>
      <c r="M47" s="15">
        <v>109000</v>
      </c>
      <c r="N47" s="17">
        <f>(D47/H47)</f>
        <v>0.086213831775701</v>
      </c>
    </row>
    <row r="48" spans="1:14">
      <c r="A48" s="4" t="s">
        <v>25</v>
      </c>
      <c r="B48" s="4" t="s">
        <v>26</v>
      </c>
      <c r="C48" s="4" t="s">
        <v>16</v>
      </c>
      <c r="D48" s="6">
        <v>9224.8799999999992</v>
      </c>
      <c r="E48" s="8" t="s">
        <v>17</v>
      </c>
      <c r="F48" s="10"/>
      <c r="G48" s="10" t="s">
        <v>17</v>
      </c>
      <c r="H48" s="6">
        <v>107000.0</v>
      </c>
      <c r="I48" s="12">
        <v>12</v>
      </c>
      <c r="J48" s="14">
        <v>100000</v>
      </c>
      <c r="K48" s="16">
        <f>(D48/H48)</f>
        <v>0.086213831775701</v>
      </c>
      <c r="L48" s="12">
        <v>121</v>
      </c>
      <c r="M48" s="14">
        <v>110000</v>
      </c>
      <c r="N48" s="16">
        <f>(D48/H48)</f>
        <v>0.086213831775701</v>
      </c>
    </row>
    <row r="49" spans="1:14">
      <c r="A49" s="5" t="s">
        <v>25</v>
      </c>
      <c r="B49" s="5" t="s">
        <v>26</v>
      </c>
      <c r="C49" s="5" t="s">
        <v>16</v>
      </c>
      <c r="D49" s="7">
        <v>9224.8799999999992</v>
      </c>
      <c r="E49" s="9" t="s">
        <v>17</v>
      </c>
      <c r="F49" s="11"/>
      <c r="G49" s="11" t="s">
        <v>17</v>
      </c>
      <c r="H49" s="7">
        <v>107000.0</v>
      </c>
      <c r="I49" s="13">
        <v>5</v>
      </c>
      <c r="J49" s="15">
        <v>95000</v>
      </c>
      <c r="K49" s="17">
        <f>(D49/H49)</f>
        <v>0.086213831775701</v>
      </c>
      <c r="L49" s="13">
        <v>1</v>
      </c>
      <c r="M49" s="15">
        <v>113000</v>
      </c>
      <c r="N49" s="17">
        <f>(D49/H49)</f>
        <v>0.086213831775701</v>
      </c>
    </row>
    <row r="50" spans="1:14">
      <c r="A50" s="4" t="s">
        <v>25</v>
      </c>
      <c r="B50" s="4" t="s">
        <v>26</v>
      </c>
      <c r="C50" s="4" t="s">
        <v>16</v>
      </c>
      <c r="D50" s="6">
        <v>9224.8799999999992</v>
      </c>
      <c r="E50" s="8" t="s">
        <v>17</v>
      </c>
      <c r="F50" s="10"/>
      <c r="G50" s="10" t="s">
        <v>17</v>
      </c>
      <c r="H50" s="6">
        <v>107000.0</v>
      </c>
      <c r="I50" s="12">
        <v>8</v>
      </c>
      <c r="J50" s="14">
        <v>90000</v>
      </c>
      <c r="K50" s="16">
        <f>(D50/H50)</f>
        <v>0.086213831775701</v>
      </c>
      <c r="L50" s="12">
        <v>91</v>
      </c>
      <c r="M50" s="14">
        <v>115000</v>
      </c>
      <c r="N50" s="16">
        <f>(D50/H50)</f>
        <v>0.086213831775701</v>
      </c>
    </row>
    <row r="51" spans="1:14">
      <c r="A51" s="5" t="s">
        <v>25</v>
      </c>
      <c r="B51" s="5" t="s">
        <v>26</v>
      </c>
      <c r="C51" s="5" t="s">
        <v>16</v>
      </c>
      <c r="D51" s="7">
        <v>9224.8799999999992</v>
      </c>
      <c r="E51" s="9" t="s">
        <v>17</v>
      </c>
      <c r="F51" s="11"/>
      <c r="G51" s="11" t="s">
        <v>17</v>
      </c>
      <c r="H51" s="7">
        <v>107000.0</v>
      </c>
      <c r="I51" s="13" t="s">
        <v>18</v>
      </c>
      <c r="J51" s="15" t="s">
        <v>18</v>
      </c>
      <c r="K51" s="17" t="s">
        <v>18</v>
      </c>
      <c r="L51" s="13">
        <v>30</v>
      </c>
      <c r="M51" s="15">
        <v>120000</v>
      </c>
      <c r="N51" s="17">
        <f>(D51/H51)</f>
        <v>0.086213831775701</v>
      </c>
    </row>
    <row r="52" spans="1:14">
      <c r="A52" s="4" t="s">
        <v>25</v>
      </c>
      <c r="B52" s="4" t="s">
        <v>26</v>
      </c>
      <c r="C52" s="4" t="s">
        <v>16</v>
      </c>
      <c r="D52" s="6">
        <v>9224.8799999999992</v>
      </c>
      <c r="E52" s="8" t="s">
        <v>17</v>
      </c>
      <c r="F52" s="10"/>
      <c r="G52" s="10" t="s">
        <v>17</v>
      </c>
      <c r="H52" s="6">
        <v>107000.0</v>
      </c>
      <c r="I52" s="12" t="s">
        <v>18</v>
      </c>
      <c r="J52" s="14" t="s">
        <v>18</v>
      </c>
      <c r="K52" s="16" t="s">
        <v>18</v>
      </c>
      <c r="L52" s="12">
        <v>50</v>
      </c>
      <c r="M52" s="14">
        <v>121000</v>
      </c>
      <c r="N52" s="16">
        <f>(D52/H52)</f>
        <v>0.086213831775701</v>
      </c>
    </row>
    <row r="53" spans="1:14">
      <c r="A53" s="5" t="s">
        <v>25</v>
      </c>
      <c r="B53" s="5" t="s">
        <v>26</v>
      </c>
      <c r="C53" s="5" t="s">
        <v>16</v>
      </c>
      <c r="D53" s="7">
        <v>9224.8799999999992</v>
      </c>
      <c r="E53" s="9" t="s">
        <v>17</v>
      </c>
      <c r="F53" s="11"/>
      <c r="G53" s="11" t="s">
        <v>17</v>
      </c>
      <c r="H53" s="7">
        <v>107000.0</v>
      </c>
      <c r="I53" s="13" t="s">
        <v>18</v>
      </c>
      <c r="J53" s="15" t="s">
        <v>18</v>
      </c>
      <c r="K53" s="17" t="s">
        <v>18</v>
      </c>
      <c r="L53" s="13">
        <v>222</v>
      </c>
      <c r="M53" s="15">
        <v>122000</v>
      </c>
      <c r="N53" s="17">
        <f>(D53/H53)</f>
        <v>0.086213831775701</v>
      </c>
    </row>
    <row r="54" spans="1:14">
      <c r="A54" s="4" t="s">
        <v>25</v>
      </c>
      <c r="B54" s="4" t="s">
        <v>26</v>
      </c>
      <c r="C54" s="4" t="s">
        <v>16</v>
      </c>
      <c r="D54" s="6">
        <v>9224.8799999999992</v>
      </c>
      <c r="E54" s="8" t="s">
        <v>17</v>
      </c>
      <c r="F54" s="10"/>
      <c r="G54" s="10" t="s">
        <v>17</v>
      </c>
      <c r="H54" s="6">
        <v>107000.0</v>
      </c>
      <c r="I54" s="12" t="s">
        <v>18</v>
      </c>
      <c r="J54" s="14" t="s">
        <v>18</v>
      </c>
      <c r="K54" s="16" t="s">
        <v>18</v>
      </c>
      <c r="L54" s="12">
        <v>105</v>
      </c>
      <c r="M54" s="14">
        <v>124999</v>
      </c>
      <c r="N54" s="16">
        <f>(D54/H54)</f>
        <v>0.086213831775701</v>
      </c>
    </row>
    <row r="55" spans="1:14">
      <c r="A55" s="5" t="s">
        <v>27</v>
      </c>
      <c r="B55" s="5" t="s">
        <v>28</v>
      </c>
      <c r="C55" s="5" t="s">
        <v>29</v>
      </c>
      <c r="D55" s="7">
        <v>10000.0</v>
      </c>
      <c r="E55" s="9">
        <v>0.175</v>
      </c>
      <c r="F55" s="11" t="s">
        <v>30</v>
      </c>
      <c r="G55" s="11" t="s">
        <v>31</v>
      </c>
      <c r="H55" s="7">
        <v>101.0</v>
      </c>
      <c r="I55" s="13">
        <v>490</v>
      </c>
      <c r="J55" s="15">
        <v>101</v>
      </c>
      <c r="K55" s="17">
        <f>yield(+WORKDAY(TODAY(),1,0),G55,E55,J55,100,2,1)</f>
      </c>
      <c r="L55" s="13">
        <v>62</v>
      </c>
      <c r="M55" s="15">
        <v>104</v>
      </c>
      <c r="N55" s="17">
        <f>yield(+WORKDAY(TODAY(),1,0),G55,E55,M55,100,2,1)</f>
      </c>
    </row>
    <row r="56" spans="1:14">
      <c r="A56" s="4" t="s">
        <v>27</v>
      </c>
      <c r="B56" s="4" t="s">
        <v>28</v>
      </c>
      <c r="C56" s="4" t="s">
        <v>29</v>
      </c>
      <c r="D56" s="6">
        <v>10000.0</v>
      </c>
      <c r="E56" s="8">
        <v>0.175</v>
      </c>
      <c r="F56" s="10" t="s">
        <v>30</v>
      </c>
      <c r="G56" s="10" t="s">
        <v>31</v>
      </c>
      <c r="H56" s="6">
        <v>101.0</v>
      </c>
      <c r="I56" s="12">
        <v>20</v>
      </c>
      <c r="J56" s="14">
        <v>96</v>
      </c>
      <c r="K56" s="16">
        <f>yield(+WORKDAY(TODAY(),1,0),G56,E56,J56,100,2,1)</f>
      </c>
      <c r="L56" s="12" t="s">
        <v>18</v>
      </c>
      <c r="M56" s="14" t="s">
        <v>18</v>
      </c>
      <c r="N56" s="16" t="s">
        <v>18</v>
      </c>
    </row>
    <row r="57" spans="1:14">
      <c r="A57" s="5" t="s">
        <v>27</v>
      </c>
      <c r="B57" s="5" t="s">
        <v>28</v>
      </c>
      <c r="C57" s="5" t="s">
        <v>29</v>
      </c>
      <c r="D57" s="7">
        <v>10000.0</v>
      </c>
      <c r="E57" s="9">
        <v>0.175</v>
      </c>
      <c r="F57" s="11" t="s">
        <v>30</v>
      </c>
      <c r="G57" s="11" t="s">
        <v>31</v>
      </c>
      <c r="H57" s="7">
        <v>101.0</v>
      </c>
      <c r="I57" s="13">
        <v>1</v>
      </c>
      <c r="J57" s="15">
        <v>83</v>
      </c>
      <c r="K57" s="17">
        <f>yield(+WORKDAY(TODAY(),1,0),G57,E57,J57,100,2,1)</f>
      </c>
      <c r="L57" s="13" t="s">
        <v>18</v>
      </c>
      <c r="M57" s="15" t="s">
        <v>18</v>
      </c>
      <c r="N57" s="17" t="s">
        <v>18</v>
      </c>
    </row>
    <row r="58" spans="1:14">
      <c r="A58" s="4" t="s">
        <v>32</v>
      </c>
      <c r="B58" s="4" t="s">
        <v>33</v>
      </c>
      <c r="C58" s="4" t="s">
        <v>29</v>
      </c>
      <c r="D58" s="6">
        <v>25000.0</v>
      </c>
      <c r="E58" s="8">
        <v>0.2</v>
      </c>
      <c r="F58" s="10" t="s">
        <v>34</v>
      </c>
      <c r="G58" s="10" t="s">
        <v>35</v>
      </c>
      <c r="H58" s="6">
        <v>116.0</v>
      </c>
      <c r="I58" s="12">
        <v>7</v>
      </c>
      <c r="J58" s="14">
        <v>116</v>
      </c>
      <c r="K58" s="16">
        <f>L58/100</f>
        <v>3.2</v>
      </c>
      <c r="L58" s="12">
        <v>320</v>
      </c>
      <c r="M58" s="14">
        <v>118</v>
      </c>
      <c r="N58" s="16">
        <f>yield(+WORKDAY(TODAY(),1,0),G58,E58,M58,100,2,1)</f>
      </c>
    </row>
    <row r="59" spans="1:14">
      <c r="A59" s="5" t="s">
        <v>32</v>
      </c>
      <c r="B59" s="5" t="s">
        <v>33</v>
      </c>
      <c r="C59" s="5" t="s">
        <v>29</v>
      </c>
      <c r="D59" s="7">
        <v>25000.0</v>
      </c>
      <c r="E59" s="9">
        <v>0.2</v>
      </c>
      <c r="F59" s="11" t="s">
        <v>34</v>
      </c>
      <c r="G59" s="11" t="s">
        <v>35</v>
      </c>
      <c r="H59" s="7">
        <v>116.0</v>
      </c>
      <c r="I59" s="13">
        <v>2577</v>
      </c>
      <c r="J59" s="15">
        <v>113.8</v>
      </c>
      <c r="K59" s="17">
        <f>L59/100</f>
        <v>0.08</v>
      </c>
      <c r="L59" s="13">
        <v>8</v>
      </c>
      <c r="M59" s="15">
        <v>125</v>
      </c>
      <c r="N59" s="17">
        <f>yield(+WORKDAY(TODAY(),1,0),G59,E59,M59,100,2,1)</f>
      </c>
    </row>
    <row r="60" spans="1:14">
      <c r="A60" s="4" t="s">
        <v>32</v>
      </c>
      <c r="B60" s="4" t="s">
        <v>33</v>
      </c>
      <c r="C60" s="4" t="s">
        <v>29</v>
      </c>
      <c r="D60" s="6">
        <v>25000.0</v>
      </c>
      <c r="E60" s="8">
        <v>0.2</v>
      </c>
      <c r="F60" s="10" t="s">
        <v>34</v>
      </c>
      <c r="G60" s="10" t="s">
        <v>35</v>
      </c>
      <c r="H60" s="6">
        <v>116.0</v>
      </c>
      <c r="I60" s="12">
        <v>8</v>
      </c>
      <c r="J60" s="14">
        <v>113</v>
      </c>
      <c r="K60" s="16">
        <f>L60/100</f>
        <v>5.26</v>
      </c>
      <c r="L60" s="12">
        <v>526</v>
      </c>
      <c r="M60" s="14">
        <v>135</v>
      </c>
      <c r="N60" s="16">
        <f>yield(+WORKDAY(TODAY(),1,0),G60,E60,M60,100,2,1)</f>
      </c>
    </row>
    <row r="61" spans="1:14">
      <c r="A61" s="5" t="s">
        <v>36</v>
      </c>
      <c r="B61" s="5" t="s">
        <v>37</v>
      </c>
      <c r="C61" s="5" t="s">
        <v>38</v>
      </c>
      <c r="D61" s="7">
        <v>50000.0</v>
      </c>
      <c r="E61" s="9" t="s">
        <v>17</v>
      </c>
      <c r="F61" s="11" t="s">
        <v>39</v>
      </c>
      <c r="G61" s="11" t="s">
        <v>40</v>
      </c>
      <c r="H61" s="7">
        <v>54000.0</v>
      </c>
      <c r="I61" s="13">
        <v>10</v>
      </c>
      <c r="J61" s="15">
        <v>54000</v>
      </c>
      <c r="K61" s="17">
        <f>(D61/H61)</f>
        <v>0.92592592592593</v>
      </c>
      <c r="L61" s="13" t="s">
        <v>18</v>
      </c>
      <c r="M61" s="15" t="s">
        <v>18</v>
      </c>
      <c r="N61" s="17" t="s">
        <v>18</v>
      </c>
    </row>
    <row r="62" spans="1:14">
      <c r="A62" s="4" t="s">
        <v>41</v>
      </c>
      <c r="B62" s="4" t="s">
        <v>42</v>
      </c>
      <c r="C62" s="4" t="s">
        <v>43</v>
      </c>
      <c r="D62" s="6">
        <v>1000.0</v>
      </c>
      <c r="E62" s="8">
        <v>0.07</v>
      </c>
      <c r="F62" s="10" t="s">
        <v>44</v>
      </c>
      <c r="G62" s="10" t="s">
        <v>45</v>
      </c>
      <c r="H62" s="6">
        <v>99.51000000000001</v>
      </c>
      <c r="I62" s="12">
        <v>5</v>
      </c>
      <c r="J62" s="14">
        <v>99.51000000000001</v>
      </c>
      <c r="K62" s="16">
        <f>yield(+WORKDAY(TODAY(),1,0),G62,E62,J62,100,2,1)</f>
      </c>
      <c r="L62" s="12" t="s">
        <v>18</v>
      </c>
      <c r="M62" s="14" t="s">
        <v>18</v>
      </c>
      <c r="N62" s="16" t="s">
        <v>18</v>
      </c>
    </row>
    <row r="63" spans="1:14">
      <c r="A63" s="5" t="s">
        <v>41</v>
      </c>
      <c r="B63" s="5" t="s">
        <v>42</v>
      </c>
      <c r="C63" s="5" t="s">
        <v>43</v>
      </c>
      <c r="D63" s="7">
        <v>1000.0</v>
      </c>
      <c r="E63" s="9">
        <v>0.07</v>
      </c>
      <c r="F63" s="11" t="s">
        <v>44</v>
      </c>
      <c r="G63" s="11" t="s">
        <v>45</v>
      </c>
      <c r="H63" s="7">
        <v>99.51000000000001</v>
      </c>
      <c r="I63" s="13">
        <v>5</v>
      </c>
      <c r="J63" s="15">
        <v>99.5</v>
      </c>
      <c r="K63" s="17">
        <f>yield(+WORKDAY(TODAY(),1,0),G63,E63,J63,100,2,1)</f>
      </c>
      <c r="L63" s="13" t="s">
        <v>18</v>
      </c>
      <c r="M63" s="15" t="s">
        <v>18</v>
      </c>
      <c r="N63" s="17" t="s">
        <v>18</v>
      </c>
    </row>
    <row r="64" spans="1:14">
      <c r="A64" s="4" t="s">
        <v>46</v>
      </c>
      <c r="B64" s="4" t="s">
        <v>47</v>
      </c>
      <c r="C64" s="4" t="s">
        <v>43</v>
      </c>
      <c r="D64" s="6">
        <v>1000.0</v>
      </c>
      <c r="E64" s="8">
        <v>0.07</v>
      </c>
      <c r="F64" s="10" t="s">
        <v>48</v>
      </c>
      <c r="G64" s="10" t="s">
        <v>49</v>
      </c>
      <c r="H64" s="6">
        <v>99.5</v>
      </c>
      <c r="I64" s="12">
        <v>40</v>
      </c>
      <c r="J64" s="14">
        <v>100</v>
      </c>
      <c r="K64" s="16">
        <f>yield(+WORKDAY(TODAY(),1,0),G64,E64,J64,100,2,1)</f>
      </c>
      <c r="L64" s="12">
        <v>4</v>
      </c>
      <c r="M64" s="14">
        <v>100.40000000000001</v>
      </c>
      <c r="N64" s="16">
        <f>yield(+WORKDAY(TODAY(),1,0),G64,E64,M64,100,2,1)</f>
      </c>
    </row>
    <row r="65" spans="1:14">
      <c r="A65" s="5" t="s">
        <v>46</v>
      </c>
      <c r="B65" s="5" t="s">
        <v>47</v>
      </c>
      <c r="C65" s="5" t="s">
        <v>43</v>
      </c>
      <c r="D65" s="7">
        <v>1000.0</v>
      </c>
      <c r="E65" s="9">
        <v>0.07</v>
      </c>
      <c r="F65" s="11" t="s">
        <v>48</v>
      </c>
      <c r="G65" s="11" t="s">
        <v>49</v>
      </c>
      <c r="H65" s="7">
        <v>99.5</v>
      </c>
      <c r="I65" s="13">
        <v>75</v>
      </c>
      <c r="J65" s="15">
        <v>99</v>
      </c>
      <c r="K65" s="17">
        <f>yield(+WORKDAY(TODAY(),1,0),G65,E65,J65,100,2,1)</f>
      </c>
      <c r="L65" s="13" t="s">
        <v>18</v>
      </c>
      <c r="M65" s="15" t="s">
        <v>18</v>
      </c>
      <c r="N65" s="17" t="s">
        <v>18</v>
      </c>
    </row>
    <row r="66" spans="1:14">
      <c r="A66" s="4" t="s">
        <v>46</v>
      </c>
      <c r="B66" s="4" t="s">
        <v>47</v>
      </c>
      <c r="C66" s="4" t="s">
        <v>43</v>
      </c>
      <c r="D66" s="6">
        <v>1000.0</v>
      </c>
      <c r="E66" s="8">
        <v>0.07</v>
      </c>
      <c r="F66" s="10" t="s">
        <v>48</v>
      </c>
      <c r="G66" s="10" t="s">
        <v>49</v>
      </c>
      <c r="H66" s="6">
        <v>99.5</v>
      </c>
      <c r="I66" s="12">
        <v>47</v>
      </c>
      <c r="J66" s="14">
        <v>98.5</v>
      </c>
      <c r="K66" s="16">
        <f>yield(+WORKDAY(TODAY(),1,0),G66,E66,J66,100,2,1)</f>
      </c>
      <c r="L66" s="12" t="s">
        <v>18</v>
      </c>
      <c r="M66" s="14" t="s">
        <v>18</v>
      </c>
      <c r="N66" s="16" t="s">
        <v>18</v>
      </c>
    </row>
    <row r="67" spans="1:14">
      <c r="A67" s="5" t="s">
        <v>50</v>
      </c>
      <c r="B67" s="5" t="s">
        <v>51</v>
      </c>
      <c r="C67" s="5" t="s">
        <v>43</v>
      </c>
      <c r="D67" s="7">
        <v>1000.0</v>
      </c>
      <c r="E67" s="9">
        <v>0.08</v>
      </c>
      <c r="F67" s="11" t="s">
        <v>52</v>
      </c>
      <c r="G67" s="11" t="s">
        <v>53</v>
      </c>
      <c r="H67" s="7">
        <v>99.5</v>
      </c>
      <c r="I67" s="13">
        <v>5</v>
      </c>
      <c r="J67" s="15">
        <v>99.5</v>
      </c>
      <c r="K67" s="17">
        <f>yield(+WORKDAY(TODAY(),1,0),G67,E67,J67,100,2,1)</f>
      </c>
      <c r="L67" s="13" t="s">
        <v>18</v>
      </c>
      <c r="M67" s="15" t="s">
        <v>18</v>
      </c>
      <c r="N67" s="17" t="s">
        <v>18</v>
      </c>
    </row>
    <row r="68" spans="1:14">
      <c r="A68" s="4" t="s">
        <v>54</v>
      </c>
      <c r="B68" s="4" t="s">
        <v>55</v>
      </c>
      <c r="C68" s="4" t="s">
        <v>43</v>
      </c>
      <c r="D68" s="6">
        <v>1000.0</v>
      </c>
      <c r="E68" s="8">
        <v>0.08</v>
      </c>
      <c r="F68" s="10" t="s">
        <v>56</v>
      </c>
      <c r="G68" s="10" t="s">
        <v>57</v>
      </c>
      <c r="H68" s="6">
        <v>101.0</v>
      </c>
      <c r="I68" s="12">
        <v>9</v>
      </c>
      <c r="J68" s="14">
        <v>101</v>
      </c>
      <c r="K68" s="16">
        <f>yield(+WORKDAY(TODAY(),1,0),G68,E68,J68,100,2,1)</f>
      </c>
      <c r="L68" s="12" t="s">
        <v>18</v>
      </c>
      <c r="M68" s="14" t="s">
        <v>18</v>
      </c>
      <c r="N68" s="16" t="s">
        <v>18</v>
      </c>
    </row>
    <row r="69" spans="1:14">
      <c r="A69" s="5" t="s">
        <v>54</v>
      </c>
      <c r="B69" s="5" t="s">
        <v>55</v>
      </c>
      <c r="C69" s="5" t="s">
        <v>43</v>
      </c>
      <c r="D69" s="7">
        <v>1000.0</v>
      </c>
      <c r="E69" s="9">
        <v>0.08</v>
      </c>
      <c r="F69" s="11" t="s">
        <v>56</v>
      </c>
      <c r="G69" s="11" t="s">
        <v>57</v>
      </c>
      <c r="H69" s="7">
        <v>101.0</v>
      </c>
      <c r="I69" s="13">
        <v>60</v>
      </c>
      <c r="J69" s="15">
        <v>100</v>
      </c>
      <c r="K69" s="17">
        <f>yield(+WORKDAY(TODAY(),1,0),G69,E69,J69,100,2,1)</f>
      </c>
      <c r="L69" s="13" t="s">
        <v>18</v>
      </c>
      <c r="M69" s="15" t="s">
        <v>18</v>
      </c>
      <c r="N69" s="17" t="s">
        <v>18</v>
      </c>
    </row>
    <row r="70" spans="1:14">
      <c r="A70" s="4" t="s">
        <v>58</v>
      </c>
      <c r="B70" s="4" t="s">
        <v>59</v>
      </c>
      <c r="C70" s="4" t="s">
        <v>43</v>
      </c>
      <c r="D70" s="6">
        <v>1000.0</v>
      </c>
      <c r="E70" s="8">
        <v>0.05</v>
      </c>
      <c r="F70" s="10" t="s">
        <v>60</v>
      </c>
      <c r="G70" s="10" t="s">
        <v>61</v>
      </c>
      <c r="H70" s="6">
        <v>100.0</v>
      </c>
      <c r="I70" s="12" t="s">
        <v>18</v>
      </c>
      <c r="J70" s="14" t="s">
        <v>18</v>
      </c>
      <c r="K70" s="16" t="s">
        <v>18</v>
      </c>
      <c r="L70" s="12">
        <v>6</v>
      </c>
      <c r="M70" s="14">
        <v>100</v>
      </c>
      <c r="N70" s="16">
        <f>yield(+WORKDAY(TODAY(),1,0),G70,E70,M70,100,2,1)</f>
      </c>
    </row>
    <row r="71" spans="1:14">
      <c r="A71" s="5" t="s">
        <v>62</v>
      </c>
      <c r="B71" s="5" t="s">
        <v>63</v>
      </c>
      <c r="C71" s="5" t="s">
        <v>43</v>
      </c>
      <c r="D71" s="7">
        <v>1000.0</v>
      </c>
      <c r="E71" s="9">
        <v>0.07</v>
      </c>
      <c r="F71" s="11" t="s">
        <v>64</v>
      </c>
      <c r="G71" s="11" t="s">
        <v>65</v>
      </c>
      <c r="H71" s="7">
        <v>100.0</v>
      </c>
      <c r="I71" s="13">
        <v>125</v>
      </c>
      <c r="J71" s="15">
        <v>100</v>
      </c>
      <c r="K71" s="17">
        <f>yield(+WORKDAY(TODAY(),1,0),G71,E71,J71,100,2,1)</f>
      </c>
      <c r="L71" s="13" t="s">
        <v>18</v>
      </c>
      <c r="M71" s="15" t="s">
        <v>18</v>
      </c>
      <c r="N71" s="17" t="s">
        <v>18</v>
      </c>
    </row>
    <row r="72" spans="1:14">
      <c r="A72" s="4" t="s">
        <v>62</v>
      </c>
      <c r="B72" s="4" t="s">
        <v>63</v>
      </c>
      <c r="C72" s="4" t="s">
        <v>43</v>
      </c>
      <c r="D72" s="6">
        <v>1000.0</v>
      </c>
      <c r="E72" s="8">
        <v>0.07</v>
      </c>
      <c r="F72" s="10" t="s">
        <v>64</v>
      </c>
      <c r="G72" s="10" t="s">
        <v>65</v>
      </c>
      <c r="H72" s="6">
        <v>100.0</v>
      </c>
      <c r="I72" s="12">
        <v>29</v>
      </c>
      <c r="J72" s="14">
        <v>99.5</v>
      </c>
      <c r="K72" s="16">
        <f>yield(+WORKDAY(TODAY(),1,0),G72,E72,J72,100,2,1)</f>
      </c>
      <c r="L72" s="12" t="s">
        <v>18</v>
      </c>
      <c r="M72" s="14" t="s">
        <v>18</v>
      </c>
      <c r="N72" s="16" t="s">
        <v>18</v>
      </c>
    </row>
    <row r="73" spans="1:14">
      <c r="A73" s="5" t="s">
        <v>66</v>
      </c>
      <c r="B73" s="5" t="s">
        <v>67</v>
      </c>
      <c r="C73" s="5" t="s">
        <v>68</v>
      </c>
      <c r="D73" s="7">
        <v>100000.0</v>
      </c>
      <c r="E73" s="9">
        <v>0.1675</v>
      </c>
      <c r="F73" s="11" t="s">
        <v>69</v>
      </c>
      <c r="G73" s="11" t="s">
        <v>70</v>
      </c>
      <c r="H73" s="7">
        <v>100.339</v>
      </c>
      <c r="I73" s="13">
        <v>3</v>
      </c>
      <c r="J73" s="15">
        <v>98</v>
      </c>
      <c r="K73" s="17">
        <f>yield(+WORKDAY(TODAY(),1,0),G73,E73,J73,100,2,1)</f>
      </c>
      <c r="L73" s="13">
        <v>2</v>
      </c>
      <c r="M73" s="15">
        <v>100</v>
      </c>
      <c r="N73" s="17">
        <f>yield(+WORKDAY(TODAY(),1,0),G73,E73,M73,100,2,1)</f>
      </c>
    </row>
    <row r="74" spans="1:14">
      <c r="A74" s="4" t="s">
        <v>71</v>
      </c>
      <c r="B74" s="4" t="s">
        <v>72</v>
      </c>
      <c r="C74" s="4" t="s">
        <v>68</v>
      </c>
      <c r="D74" s="6">
        <v>100000.0</v>
      </c>
      <c r="E74" s="8">
        <v>0.1675</v>
      </c>
      <c r="F74" s="10" t="s">
        <v>73</v>
      </c>
      <c r="G74" s="10" t="s">
        <v>74</v>
      </c>
      <c r="H74" s="6">
        <v>99.0</v>
      </c>
      <c r="I74" s="12" t="s">
        <v>18</v>
      </c>
      <c r="J74" s="14" t="s">
        <v>18</v>
      </c>
      <c r="K74" s="16" t="s">
        <v>18</v>
      </c>
      <c r="L74" s="12">
        <v>43</v>
      </c>
      <c r="M74" s="14">
        <v>100</v>
      </c>
      <c r="N74" s="16">
        <f>yield(+WORKDAY(TODAY(),1,0),G74,E74,M74,100,2,1)</f>
      </c>
    </row>
    <row r="75" spans="1:14">
      <c r="A75" s="5" t="s">
        <v>71</v>
      </c>
      <c r="B75" s="5" t="s">
        <v>72</v>
      </c>
      <c r="C75" s="5" t="s">
        <v>68</v>
      </c>
      <c r="D75" s="7">
        <v>100000.0</v>
      </c>
      <c r="E75" s="9">
        <v>0.1675</v>
      </c>
      <c r="F75" s="11" t="s">
        <v>73</v>
      </c>
      <c r="G75" s="11" t="s">
        <v>74</v>
      </c>
      <c r="H75" s="7">
        <v>99.0</v>
      </c>
      <c r="I75" s="13" t="s">
        <v>18</v>
      </c>
      <c r="J75" s="15" t="s">
        <v>18</v>
      </c>
      <c r="K75" s="17" t="s">
        <v>18</v>
      </c>
      <c r="L75" s="13">
        <v>2</v>
      </c>
      <c r="M75" s="15">
        <v>101.45</v>
      </c>
      <c r="N75" s="17">
        <f>yield(+WORKDAY(TODAY(),1,0),G75,E75,M75,100,2,1)</f>
      </c>
    </row>
    <row r="76" spans="1:14">
      <c r="A76" s="4" t="s">
        <v>71</v>
      </c>
      <c r="B76" s="4" t="s">
        <v>72</v>
      </c>
      <c r="C76" s="4" t="s">
        <v>68</v>
      </c>
      <c r="D76" s="6">
        <v>100000.0</v>
      </c>
      <c r="E76" s="8">
        <v>0.1675</v>
      </c>
      <c r="F76" s="10" t="s">
        <v>73</v>
      </c>
      <c r="G76" s="10" t="s">
        <v>74</v>
      </c>
      <c r="H76" s="6">
        <v>99.0</v>
      </c>
      <c r="I76" s="12" t="s">
        <v>18</v>
      </c>
      <c r="J76" s="14" t="s">
        <v>18</v>
      </c>
      <c r="K76" s="16" t="s">
        <v>18</v>
      </c>
      <c r="L76" s="12">
        <v>10</v>
      </c>
      <c r="M76" s="14">
        <v>104</v>
      </c>
      <c r="N76" s="16">
        <f>yield(+WORKDAY(TODAY(),1,0),G76,E76,M76,100,2,1)</f>
      </c>
    </row>
    <row r="77" spans="1:14">
      <c r="A77" s="5" t="s">
        <v>71</v>
      </c>
      <c r="B77" s="5" t="s">
        <v>72</v>
      </c>
      <c r="C77" s="5" t="s">
        <v>68</v>
      </c>
      <c r="D77" s="7">
        <v>100000.0</v>
      </c>
      <c r="E77" s="9">
        <v>0.1675</v>
      </c>
      <c r="F77" s="11" t="s">
        <v>73</v>
      </c>
      <c r="G77" s="11" t="s">
        <v>74</v>
      </c>
      <c r="H77" s="7">
        <v>99.0</v>
      </c>
      <c r="I77" s="13" t="s">
        <v>18</v>
      </c>
      <c r="J77" s="15" t="s">
        <v>18</v>
      </c>
      <c r="K77" s="17" t="s">
        <v>18</v>
      </c>
      <c r="L77" s="13">
        <v>1</v>
      </c>
      <c r="M77" s="15">
        <v>105</v>
      </c>
      <c r="N77" s="17">
        <f>yield(+WORKDAY(TODAY(),1,0),G77,E77,M77,100,2,1)</f>
      </c>
    </row>
    <row r="78" spans="1:14">
      <c r="A78" s="4" t="s">
        <v>75</v>
      </c>
      <c r="B78" s="4" t="s">
        <v>76</v>
      </c>
      <c r="C78" s="4" t="s">
        <v>68</v>
      </c>
      <c r="D78" s="6">
        <v>100000.0</v>
      </c>
      <c r="E78" s="8">
        <v>0.1675</v>
      </c>
      <c r="F78" s="10" t="s">
        <v>77</v>
      </c>
      <c r="G78" s="10" t="s">
        <v>78</v>
      </c>
      <c r="H78" s="6">
        <v>98.0</v>
      </c>
      <c r="I78" s="12">
        <v>11</v>
      </c>
      <c r="J78" s="14">
        <v>99</v>
      </c>
      <c r="K78" s="16">
        <f>yield(+WORKDAY(TODAY(),1,0),G78,E78,J78,100,2,1)</f>
      </c>
      <c r="L78" s="12">
        <v>2</v>
      </c>
      <c r="M78" s="14">
        <v>101.59</v>
      </c>
      <c r="N78" s="16">
        <f>yield(+WORKDAY(TODAY(),1,0),G78,E78,M78,100,2,1)</f>
      </c>
    </row>
    <row r="79" spans="1:14">
      <c r="A79" s="5" t="s">
        <v>79</v>
      </c>
      <c r="B79" s="5" t="s">
        <v>80</v>
      </c>
      <c r="C79" s="5" t="s">
        <v>68</v>
      </c>
      <c r="D79" s="7">
        <v>100000.0</v>
      </c>
      <c r="E79" s="9">
        <v>0.195</v>
      </c>
      <c r="F79" s="11" t="s">
        <v>81</v>
      </c>
      <c r="G79" s="11" t="s">
        <v>82</v>
      </c>
      <c r="H79" s="7">
        <v>103.98999999999999</v>
      </c>
      <c r="I79" s="13">
        <v>15</v>
      </c>
      <c r="J79" s="15">
        <v>103</v>
      </c>
      <c r="K79" s="17">
        <f>yield(+WORKDAY(TODAY(),1,0),G79,E79,J79,100,2,1)</f>
      </c>
      <c r="L79" s="13">
        <v>354</v>
      </c>
      <c r="M79" s="15">
        <v>103.98999999999999</v>
      </c>
      <c r="N79" s="17">
        <f>yield(+WORKDAY(TODAY(),1,0),G79,E79,M79,100,2,1)</f>
      </c>
    </row>
    <row r="80" spans="1:14">
      <c r="A80" s="4" t="s">
        <v>79</v>
      </c>
      <c r="B80" s="4" t="s">
        <v>80</v>
      </c>
      <c r="C80" s="4" t="s">
        <v>68</v>
      </c>
      <c r="D80" s="6">
        <v>100000.0</v>
      </c>
      <c r="E80" s="8">
        <v>0.195</v>
      </c>
      <c r="F80" s="10" t="s">
        <v>81</v>
      </c>
      <c r="G80" s="10" t="s">
        <v>82</v>
      </c>
      <c r="H80" s="6">
        <v>103.98999999999999</v>
      </c>
      <c r="I80" s="12">
        <v>17</v>
      </c>
      <c r="J80" s="14">
        <v>102</v>
      </c>
      <c r="K80" s="16">
        <f>yield(+WORKDAY(TODAY(),1,0),G80,E80,J80,100,2,1)</f>
      </c>
      <c r="L80" s="12">
        <v>297</v>
      </c>
      <c r="M80" s="14">
        <v>104</v>
      </c>
      <c r="N80" s="16">
        <f>yield(+WORKDAY(TODAY(),1,0),G80,E80,M80,100,2,1)</f>
      </c>
    </row>
    <row r="81" spans="1:14">
      <c r="A81" s="5" t="s">
        <v>79</v>
      </c>
      <c r="B81" s="5" t="s">
        <v>80</v>
      </c>
      <c r="C81" s="5" t="s">
        <v>68</v>
      </c>
      <c r="D81" s="7">
        <v>100000.0</v>
      </c>
      <c r="E81" s="9">
        <v>0.195</v>
      </c>
      <c r="F81" s="11" t="s">
        <v>81</v>
      </c>
      <c r="G81" s="11" t="s">
        <v>82</v>
      </c>
      <c r="H81" s="7">
        <v>103.98999999999999</v>
      </c>
      <c r="I81" s="13">
        <v>30</v>
      </c>
      <c r="J81" s="15">
        <v>99.8</v>
      </c>
      <c r="K81" s="17">
        <f>yield(+WORKDAY(TODAY(),1,0),G81,E81,J81,100,2,1)</f>
      </c>
      <c r="L81" s="13">
        <v>50</v>
      </c>
      <c r="M81" s="15">
        <v>104.5</v>
      </c>
      <c r="N81" s="17">
        <f>yield(+WORKDAY(TODAY(),1,0),G81,E81,M81,100,2,1)</f>
      </c>
    </row>
    <row r="82" spans="1:14">
      <c r="A82" s="4" t="s">
        <v>79</v>
      </c>
      <c r="B82" s="4" t="s">
        <v>80</v>
      </c>
      <c r="C82" s="4" t="s">
        <v>68</v>
      </c>
      <c r="D82" s="6">
        <v>100000.0</v>
      </c>
      <c r="E82" s="8">
        <v>0.195</v>
      </c>
      <c r="F82" s="10" t="s">
        <v>81</v>
      </c>
      <c r="G82" s="10" t="s">
        <v>82</v>
      </c>
      <c r="H82" s="6">
        <v>103.98999999999999</v>
      </c>
      <c r="I82" s="12" t="s">
        <v>18</v>
      </c>
      <c r="J82" s="14" t="s">
        <v>18</v>
      </c>
      <c r="K82" s="16" t="s">
        <v>18</v>
      </c>
      <c r="L82" s="12">
        <v>128</v>
      </c>
      <c r="M82" s="14">
        <v>105.5</v>
      </c>
      <c r="N82" s="16">
        <f>yield(+WORKDAY(TODAY(),1,0),G82,E82,M82,100,2,1)</f>
      </c>
    </row>
    <row r="83" spans="1:14">
      <c r="A83" s="5" t="s">
        <v>79</v>
      </c>
      <c r="B83" s="5" t="s">
        <v>80</v>
      </c>
      <c r="C83" s="5" t="s">
        <v>68</v>
      </c>
      <c r="D83" s="7">
        <v>100000.0</v>
      </c>
      <c r="E83" s="9">
        <v>0.195</v>
      </c>
      <c r="F83" s="11" t="s">
        <v>81</v>
      </c>
      <c r="G83" s="11" t="s">
        <v>82</v>
      </c>
      <c r="H83" s="7">
        <v>103.98999999999999</v>
      </c>
      <c r="I83" s="13" t="s">
        <v>18</v>
      </c>
      <c r="J83" s="15" t="s">
        <v>18</v>
      </c>
      <c r="K83" s="17" t="s">
        <v>18</v>
      </c>
      <c r="L83" s="13">
        <v>5467</v>
      </c>
      <c r="M83" s="15">
        <v>106.70099999999999</v>
      </c>
      <c r="N83" s="17">
        <f>yield(+WORKDAY(TODAY(),1,0),G83,E83,M83,100,2,1)</f>
      </c>
    </row>
    <row r="84" spans="1:14">
      <c r="A84" s="4" t="s">
        <v>79</v>
      </c>
      <c r="B84" s="4" t="s">
        <v>80</v>
      </c>
      <c r="C84" s="4" t="s">
        <v>68</v>
      </c>
      <c r="D84" s="6">
        <v>100000.0</v>
      </c>
      <c r="E84" s="8">
        <v>0.195</v>
      </c>
      <c r="F84" s="10" t="s">
        <v>81</v>
      </c>
      <c r="G84" s="10" t="s">
        <v>82</v>
      </c>
      <c r="H84" s="6">
        <v>103.98999999999999</v>
      </c>
      <c r="I84" s="12" t="s">
        <v>18</v>
      </c>
      <c r="J84" s="14" t="s">
        <v>18</v>
      </c>
      <c r="K84" s="16" t="s">
        <v>18</v>
      </c>
      <c r="L84" s="12">
        <v>34</v>
      </c>
      <c r="M84" s="14">
        <v>108.98999999999999</v>
      </c>
      <c r="N84" s="16">
        <f>yield(+WORKDAY(TODAY(),1,0),G84,E84,M84,100,2,1)</f>
      </c>
    </row>
    <row r="85" spans="1:14">
      <c r="A85" s="5" t="s">
        <v>79</v>
      </c>
      <c r="B85" s="5" t="s">
        <v>80</v>
      </c>
      <c r="C85" s="5" t="s">
        <v>68</v>
      </c>
      <c r="D85" s="7">
        <v>100000.0</v>
      </c>
      <c r="E85" s="9">
        <v>0.195</v>
      </c>
      <c r="F85" s="11" t="s">
        <v>81</v>
      </c>
      <c r="G85" s="11" t="s">
        <v>82</v>
      </c>
      <c r="H85" s="7">
        <v>103.98999999999999</v>
      </c>
      <c r="I85" s="13" t="s">
        <v>18</v>
      </c>
      <c r="J85" s="15" t="s">
        <v>18</v>
      </c>
      <c r="K85" s="17" t="s">
        <v>18</v>
      </c>
      <c r="L85" s="13">
        <v>1038</v>
      </c>
      <c r="M85" s="15">
        <v>109</v>
      </c>
      <c r="N85" s="17">
        <f>yield(+WORKDAY(TODAY(),1,0),G85,E85,M85,100,2,1)</f>
      </c>
    </row>
    <row r="86" spans="1:14">
      <c r="A86" s="4" t="s">
        <v>79</v>
      </c>
      <c r="B86" s="4" t="s">
        <v>80</v>
      </c>
      <c r="C86" s="4" t="s">
        <v>68</v>
      </c>
      <c r="D86" s="6">
        <v>100000.0</v>
      </c>
      <c r="E86" s="8">
        <v>0.195</v>
      </c>
      <c r="F86" s="10" t="s">
        <v>81</v>
      </c>
      <c r="G86" s="10" t="s">
        <v>82</v>
      </c>
      <c r="H86" s="6">
        <v>103.98999999999999</v>
      </c>
      <c r="I86" s="12" t="s">
        <v>18</v>
      </c>
      <c r="J86" s="14" t="s">
        <v>18</v>
      </c>
      <c r="K86" s="16" t="s">
        <v>18</v>
      </c>
      <c r="L86" s="12">
        <v>1864</v>
      </c>
      <c r="M86" s="14">
        <v>110</v>
      </c>
      <c r="N86" s="16">
        <f>yield(+WORKDAY(TODAY(),1,0),G86,E86,M86,100,2,1)</f>
      </c>
    </row>
    <row r="87" spans="1:14">
      <c r="A87" s="5" t="s">
        <v>83</v>
      </c>
      <c r="B87" s="5" t="s">
        <v>84</v>
      </c>
      <c r="C87" s="5" t="s">
        <v>68</v>
      </c>
      <c r="D87" s="7">
        <v>100000.0</v>
      </c>
      <c r="E87" s="9">
        <v>0.21</v>
      </c>
      <c r="F87" s="11" t="s">
        <v>85</v>
      </c>
      <c r="G87" s="11" t="s">
        <v>86</v>
      </c>
      <c r="H87" s="7">
        <v>113.98</v>
      </c>
      <c r="I87" s="13">
        <v>21</v>
      </c>
      <c r="J87" s="15">
        <v>114</v>
      </c>
      <c r="K87" s="17">
        <f>yield(+WORKDAY(TODAY(),1,0),G87,E87,J87,100,2,1)</f>
      </c>
      <c r="L87" s="13">
        <v>209</v>
      </c>
      <c r="M87" s="15">
        <v>115.40000000000001</v>
      </c>
      <c r="N87" s="17">
        <f>yield(+WORKDAY(TODAY(),1,0),G87,E87,M87,100,2,1)</f>
      </c>
    </row>
    <row r="88" spans="1:14">
      <c r="A88" s="4" t="s">
        <v>83</v>
      </c>
      <c r="B88" s="4" t="s">
        <v>84</v>
      </c>
      <c r="C88" s="4" t="s">
        <v>68</v>
      </c>
      <c r="D88" s="6">
        <v>100000.0</v>
      </c>
      <c r="E88" s="8">
        <v>0.21</v>
      </c>
      <c r="F88" s="10" t="s">
        <v>85</v>
      </c>
      <c r="G88" s="10" t="s">
        <v>86</v>
      </c>
      <c r="H88" s="6">
        <v>113.98</v>
      </c>
      <c r="I88" s="12">
        <v>1</v>
      </c>
      <c r="J88" s="14">
        <v>113.98</v>
      </c>
      <c r="K88" s="16">
        <f>yield(+WORKDAY(TODAY(),1,0),G88,E88,J88,100,2,1)</f>
      </c>
      <c r="L88" s="12">
        <v>19</v>
      </c>
      <c r="M88" s="14">
        <v>115.48999999999999</v>
      </c>
      <c r="N88" s="16">
        <f>yield(+WORKDAY(TODAY(),1,0),G88,E88,M88,100,2,1)</f>
      </c>
    </row>
    <row r="89" spans="1:14">
      <c r="A89" s="5" t="s">
        <v>83</v>
      </c>
      <c r="B89" s="5" t="s">
        <v>84</v>
      </c>
      <c r="C89" s="5" t="s">
        <v>68</v>
      </c>
      <c r="D89" s="7">
        <v>100000.0</v>
      </c>
      <c r="E89" s="9">
        <v>0.21</v>
      </c>
      <c r="F89" s="11" t="s">
        <v>85</v>
      </c>
      <c r="G89" s="11" t="s">
        <v>86</v>
      </c>
      <c r="H89" s="7">
        <v>113.98</v>
      </c>
      <c r="I89" s="13">
        <v>903</v>
      </c>
      <c r="J89" s="15">
        <v>112</v>
      </c>
      <c r="K89" s="17">
        <f>yield(+WORKDAY(TODAY(),1,0),G89,E89,J89,100,2,1)</f>
      </c>
      <c r="L89" s="13">
        <v>290</v>
      </c>
      <c r="M89" s="15">
        <v>115.90000000000001</v>
      </c>
      <c r="N89" s="17">
        <f>yield(+WORKDAY(TODAY(),1,0),G89,E89,M89,100,2,1)</f>
      </c>
    </row>
    <row r="90" spans="1:14">
      <c r="A90" s="4" t="s">
        <v>83</v>
      </c>
      <c r="B90" s="4" t="s">
        <v>84</v>
      </c>
      <c r="C90" s="4" t="s">
        <v>68</v>
      </c>
      <c r="D90" s="6">
        <v>100000.0</v>
      </c>
      <c r="E90" s="8">
        <v>0.21</v>
      </c>
      <c r="F90" s="10" t="s">
        <v>85</v>
      </c>
      <c r="G90" s="10" t="s">
        <v>86</v>
      </c>
      <c r="H90" s="6">
        <v>113.98</v>
      </c>
      <c r="I90" s="12">
        <v>5</v>
      </c>
      <c r="J90" s="14">
        <v>107</v>
      </c>
      <c r="K90" s="16">
        <f>yield(+WORKDAY(TODAY(),1,0),G90,E90,J90,100,2,1)</f>
      </c>
      <c r="L90" s="12">
        <v>158</v>
      </c>
      <c r="M90" s="14">
        <v>116</v>
      </c>
      <c r="N90" s="16">
        <f>yield(+WORKDAY(TODAY(),1,0),G90,E90,M90,100,2,1)</f>
      </c>
    </row>
    <row r="91" spans="1:14">
      <c r="A91" s="5" t="s">
        <v>83</v>
      </c>
      <c r="B91" s="5" t="s">
        <v>84</v>
      </c>
      <c r="C91" s="5" t="s">
        <v>68</v>
      </c>
      <c r="D91" s="7">
        <v>100000.0</v>
      </c>
      <c r="E91" s="9">
        <v>0.21</v>
      </c>
      <c r="F91" s="11" t="s">
        <v>85</v>
      </c>
      <c r="G91" s="11" t="s">
        <v>86</v>
      </c>
      <c r="H91" s="7">
        <v>113.98</v>
      </c>
      <c r="I91" s="13">
        <v>282</v>
      </c>
      <c r="J91" s="15">
        <v>101</v>
      </c>
      <c r="K91" s="17">
        <f>yield(+WORKDAY(TODAY(),1,0),G91,E91,J91,100,2,1)</f>
      </c>
      <c r="L91" s="13">
        <v>1</v>
      </c>
      <c r="M91" s="15">
        <v>120</v>
      </c>
      <c r="N91" s="17">
        <f>yield(+WORKDAY(TODAY(),1,0),G91,E91,M91,100,2,1)</f>
      </c>
    </row>
    <row r="92" spans="1:14">
      <c r="A92" s="4" t="s">
        <v>83</v>
      </c>
      <c r="B92" s="4" t="s">
        <v>84</v>
      </c>
      <c r="C92" s="4" t="s">
        <v>68</v>
      </c>
      <c r="D92" s="6">
        <v>100000.0</v>
      </c>
      <c r="E92" s="8">
        <v>0.21</v>
      </c>
      <c r="F92" s="10" t="s">
        <v>85</v>
      </c>
      <c r="G92" s="10" t="s">
        <v>86</v>
      </c>
      <c r="H92" s="6">
        <v>113.98</v>
      </c>
      <c r="I92" s="12" t="s">
        <v>18</v>
      </c>
      <c r="J92" s="14" t="s">
        <v>18</v>
      </c>
      <c r="K92" s="16" t="s">
        <v>18</v>
      </c>
      <c r="L92" s="12">
        <v>100</v>
      </c>
      <c r="M92" s="14">
        <v>122</v>
      </c>
      <c r="N92" s="16">
        <f>yield(+WORKDAY(TODAY(),1,0),G92,E92,M92,100,2,1)</f>
      </c>
    </row>
    <row r="93" spans="1:14">
      <c r="A93" s="5" t="s">
        <v>87</v>
      </c>
      <c r="B93" s="5" t="s">
        <v>88</v>
      </c>
      <c r="C93" s="5" t="s">
        <v>68</v>
      </c>
      <c r="D93" s="7">
        <v>100000.0</v>
      </c>
      <c r="E93" s="9">
        <v>0.2</v>
      </c>
      <c r="F93" s="11" t="s">
        <v>85</v>
      </c>
      <c r="G93" s="11" t="s">
        <v>89</v>
      </c>
      <c r="H93" s="7">
        <v>109.0</v>
      </c>
      <c r="I93" s="13">
        <v>12</v>
      </c>
      <c r="J93" s="15">
        <v>104</v>
      </c>
      <c r="K93" s="17">
        <f>yield(+WORKDAY(TODAY(),1,0),G93,E93,J93,100,2,1)</f>
      </c>
      <c r="L93" s="13">
        <v>236</v>
      </c>
      <c r="M93" s="15">
        <v>108.90000000000001</v>
      </c>
      <c r="N93" s="17">
        <f>yield(+WORKDAY(TODAY(),1,0),G93,E93,M93,100,2,1)</f>
      </c>
    </row>
    <row r="94" spans="1:14">
      <c r="A94" s="4" t="s">
        <v>87</v>
      </c>
      <c r="B94" s="4" t="s">
        <v>88</v>
      </c>
      <c r="C94" s="4" t="s">
        <v>68</v>
      </c>
      <c r="D94" s="6">
        <v>100000.0</v>
      </c>
      <c r="E94" s="8">
        <v>0.2</v>
      </c>
      <c r="F94" s="10" t="s">
        <v>85</v>
      </c>
      <c r="G94" s="10" t="s">
        <v>89</v>
      </c>
      <c r="H94" s="6">
        <v>109.0</v>
      </c>
      <c r="I94" s="12">
        <v>70</v>
      </c>
      <c r="J94" s="14">
        <v>102</v>
      </c>
      <c r="K94" s="16">
        <f>yield(+WORKDAY(TODAY(),1,0),G94,E94,J94,100,2,1)</f>
      </c>
      <c r="L94" s="12">
        <v>15086</v>
      </c>
      <c r="M94" s="14">
        <v>109</v>
      </c>
      <c r="N94" s="16">
        <f>yield(+WORKDAY(TODAY(),1,0),G94,E94,M94,100,2,1)</f>
      </c>
    </row>
    <row r="95" spans="1:14">
      <c r="A95" s="5" t="s">
        <v>87</v>
      </c>
      <c r="B95" s="5" t="s">
        <v>88</v>
      </c>
      <c r="C95" s="5" t="s">
        <v>68</v>
      </c>
      <c r="D95" s="7">
        <v>100000.0</v>
      </c>
      <c r="E95" s="9">
        <v>0.2</v>
      </c>
      <c r="F95" s="11" t="s">
        <v>85</v>
      </c>
      <c r="G95" s="11" t="s">
        <v>89</v>
      </c>
      <c r="H95" s="7">
        <v>109.0</v>
      </c>
      <c r="I95" s="13" t="s">
        <v>18</v>
      </c>
      <c r="J95" s="15" t="s">
        <v>18</v>
      </c>
      <c r="K95" s="17" t="s">
        <v>18</v>
      </c>
      <c r="L95" s="13">
        <v>10</v>
      </c>
      <c r="M95" s="15">
        <v>109.40000000000001</v>
      </c>
      <c r="N95" s="17">
        <f>yield(+WORKDAY(TODAY(),1,0),G95,E95,M95,100,2,1)</f>
      </c>
    </row>
    <row r="96" spans="1:14">
      <c r="A96" s="4" t="s">
        <v>90</v>
      </c>
      <c r="B96" s="4" t="s">
        <v>91</v>
      </c>
      <c r="C96" s="4" t="s">
        <v>68</v>
      </c>
      <c r="D96" s="6">
        <v>100000.0</v>
      </c>
      <c r="E96" s="8">
        <v>0.15</v>
      </c>
      <c r="F96" s="10" t="s">
        <v>92</v>
      </c>
      <c r="G96" s="10" t="s">
        <v>93</v>
      </c>
      <c r="H96" s="6">
        <v>99.986</v>
      </c>
      <c r="I96" s="12">
        <v>7721</v>
      </c>
      <c r="J96" s="14">
        <v>97.845</v>
      </c>
      <c r="K96" s="16">
        <f>yield(+WORKDAY(TODAY(),1,0),G96,E96,J96,100,2,1)</f>
      </c>
      <c r="L96" s="12">
        <v>7721</v>
      </c>
      <c r="M96" s="14">
        <v>99.986</v>
      </c>
      <c r="N96" s="16">
        <f>yield(+WORKDAY(TODAY(),1,0),G96,E96,M96,100,2,1)</f>
      </c>
    </row>
    <row r="97" spans="1:14">
      <c r="A97" s="5" t="s">
        <v>90</v>
      </c>
      <c r="B97" s="5" t="s">
        <v>91</v>
      </c>
      <c r="C97" s="5" t="s">
        <v>68</v>
      </c>
      <c r="D97" s="7">
        <v>100000.0</v>
      </c>
      <c r="E97" s="9">
        <v>0.15</v>
      </c>
      <c r="F97" s="11" t="s">
        <v>92</v>
      </c>
      <c r="G97" s="11" t="s">
        <v>93</v>
      </c>
      <c r="H97" s="7">
        <v>99.986</v>
      </c>
      <c r="I97" s="13" t="s">
        <v>18</v>
      </c>
      <c r="J97" s="15" t="s">
        <v>18</v>
      </c>
      <c r="K97" s="17" t="s">
        <v>18</v>
      </c>
      <c r="L97" s="13">
        <v>21</v>
      </c>
      <c r="M97" s="15">
        <v>100</v>
      </c>
      <c r="N97" s="17">
        <f>yield(+WORKDAY(TODAY(),1,0),G97,E97,M97,100,2,1)</f>
      </c>
    </row>
    <row r="98" spans="1:14">
      <c r="A98" s="4" t="s">
        <v>90</v>
      </c>
      <c r="B98" s="4" t="s">
        <v>91</v>
      </c>
      <c r="C98" s="4" t="s">
        <v>68</v>
      </c>
      <c r="D98" s="6">
        <v>100000.0</v>
      </c>
      <c r="E98" s="8">
        <v>0.15</v>
      </c>
      <c r="F98" s="10" t="s">
        <v>92</v>
      </c>
      <c r="G98" s="10" t="s">
        <v>93</v>
      </c>
      <c r="H98" s="6">
        <v>99.986</v>
      </c>
      <c r="I98" s="12" t="s">
        <v>18</v>
      </c>
      <c r="J98" s="14" t="s">
        <v>18</v>
      </c>
      <c r="K98" s="16" t="s">
        <v>18</v>
      </c>
      <c r="L98" s="12">
        <v>111348</v>
      </c>
      <c r="M98" s="14">
        <v>101.5</v>
      </c>
      <c r="N98" s="16">
        <f>yield(+WORKDAY(TODAY(),1,0),G98,E98,M98,100,2,1)</f>
      </c>
    </row>
    <row r="99" spans="1:14">
      <c r="A99" s="5" t="s">
        <v>90</v>
      </c>
      <c r="B99" s="5" t="s">
        <v>91</v>
      </c>
      <c r="C99" s="5" t="s">
        <v>68</v>
      </c>
      <c r="D99" s="7">
        <v>100000.0</v>
      </c>
      <c r="E99" s="9">
        <v>0.15</v>
      </c>
      <c r="F99" s="11" t="s">
        <v>92</v>
      </c>
      <c r="G99" s="11" t="s">
        <v>93</v>
      </c>
      <c r="H99" s="7">
        <v>99.986</v>
      </c>
      <c r="I99" s="13" t="s">
        <v>18</v>
      </c>
      <c r="J99" s="15" t="s">
        <v>18</v>
      </c>
      <c r="K99" s="17" t="s">
        <v>18</v>
      </c>
      <c r="L99" s="13">
        <v>23</v>
      </c>
      <c r="M99" s="15">
        <v>105</v>
      </c>
      <c r="N99" s="17">
        <f>yield(+WORKDAY(TODAY(),1,0),G99,E99,M99,100,2,1)</f>
      </c>
    </row>
    <row r="100" spans="1:14">
      <c r="A100" s="4" t="s">
        <v>94</v>
      </c>
      <c r="B100" s="4" t="s">
        <v>95</v>
      </c>
      <c r="C100" s="4" t="s">
        <v>68</v>
      </c>
      <c r="D100" s="6">
        <v>100000.0</v>
      </c>
      <c r="E100" s="8">
        <v>0.16</v>
      </c>
      <c r="F100" s="10" t="s">
        <v>96</v>
      </c>
      <c r="G100" s="10" t="s">
        <v>97</v>
      </c>
      <c r="H100" s="6">
        <v>101.69199999999999</v>
      </c>
      <c r="I100" s="12" t="s">
        <v>18</v>
      </c>
      <c r="J100" s="14" t="s">
        <v>18</v>
      </c>
      <c r="K100" s="16" t="s">
        <v>18</v>
      </c>
      <c r="L100" s="12">
        <v>292</v>
      </c>
      <c r="M100" s="14">
        <v>101.69199999999999</v>
      </c>
      <c r="N100" s="16">
        <f>yield(+WORKDAY(TODAY(),1,0),G100,E100,M100,100,2,1)</f>
      </c>
    </row>
    <row r="101" spans="1:14">
      <c r="A101" s="5" t="s">
        <v>94</v>
      </c>
      <c r="B101" s="5" t="s">
        <v>95</v>
      </c>
      <c r="C101" s="5" t="s">
        <v>68</v>
      </c>
      <c r="D101" s="7">
        <v>100000.0</v>
      </c>
      <c r="E101" s="9">
        <v>0.16</v>
      </c>
      <c r="F101" s="11" t="s">
        <v>96</v>
      </c>
      <c r="G101" s="11" t="s">
        <v>97</v>
      </c>
      <c r="H101" s="7">
        <v>101.69199999999999</v>
      </c>
      <c r="I101" s="13" t="s">
        <v>18</v>
      </c>
      <c r="J101" s="15" t="s">
        <v>18</v>
      </c>
      <c r="K101" s="17" t="s">
        <v>18</v>
      </c>
      <c r="L101" s="13">
        <v>55</v>
      </c>
      <c r="M101" s="15">
        <v>101.776</v>
      </c>
      <c r="N101" s="17">
        <f>yield(+WORKDAY(TODAY(),1,0),G101,E101,M101,100,2,1)</f>
      </c>
    </row>
    <row r="102" spans="1:14">
      <c r="A102" s="4" t="s">
        <v>94</v>
      </c>
      <c r="B102" s="4" t="s">
        <v>95</v>
      </c>
      <c r="C102" s="4" t="s">
        <v>68</v>
      </c>
      <c r="D102" s="6">
        <v>100000.0</v>
      </c>
      <c r="E102" s="8">
        <v>0.16</v>
      </c>
      <c r="F102" s="10" t="s">
        <v>96</v>
      </c>
      <c r="G102" s="10" t="s">
        <v>97</v>
      </c>
      <c r="H102" s="6">
        <v>101.69199999999999</v>
      </c>
      <c r="I102" s="12" t="s">
        <v>18</v>
      </c>
      <c r="J102" s="14" t="s">
        <v>18</v>
      </c>
      <c r="K102" s="16" t="s">
        <v>18</v>
      </c>
      <c r="L102" s="12">
        <v>148408</v>
      </c>
      <c r="M102" s="14">
        <v>102</v>
      </c>
      <c r="N102" s="16">
        <f>yield(+WORKDAY(TODAY(),1,0),G102,E102,M102,100,2,1)</f>
      </c>
    </row>
    <row r="103" spans="1:14">
      <c r="A103" s="5" t="s">
        <v>98</v>
      </c>
      <c r="B103" s="5" t="s">
        <v>99</v>
      </c>
      <c r="C103" s="5" t="s">
        <v>68</v>
      </c>
      <c r="D103" s="7">
        <v>100000.0</v>
      </c>
      <c r="E103" s="9">
        <v>0.1625</v>
      </c>
      <c r="F103" s="11" t="s">
        <v>100</v>
      </c>
      <c r="G103" s="11" t="s">
        <v>101</v>
      </c>
      <c r="H103" s="7">
        <v>96.5</v>
      </c>
      <c r="I103" s="13">
        <v>531</v>
      </c>
      <c r="J103" s="15">
        <v>94.5</v>
      </c>
      <c r="K103" s="17">
        <f>yield(+WORKDAY(TODAY(),1,0),G103,E103,J103,100,2,1)</f>
      </c>
      <c r="L103" s="13">
        <v>29</v>
      </c>
      <c r="M103" s="15">
        <v>96.5</v>
      </c>
      <c r="N103" s="17">
        <f>yield(+WORKDAY(TODAY(),1,0),G103,E103,M103,100,2,1)</f>
      </c>
    </row>
    <row r="104" spans="1:14">
      <c r="A104" s="4" t="s">
        <v>98</v>
      </c>
      <c r="B104" s="4" t="s">
        <v>99</v>
      </c>
      <c r="C104" s="4" t="s">
        <v>68</v>
      </c>
      <c r="D104" s="6">
        <v>100000.0</v>
      </c>
      <c r="E104" s="8">
        <v>0.1625</v>
      </c>
      <c r="F104" s="10" t="s">
        <v>100</v>
      </c>
      <c r="G104" s="10" t="s">
        <v>101</v>
      </c>
      <c r="H104" s="6">
        <v>96.5</v>
      </c>
      <c r="I104" s="12">
        <v>2</v>
      </c>
      <c r="J104" s="14">
        <v>94.099999999999994</v>
      </c>
      <c r="K104" s="16">
        <f>yield(+WORKDAY(TODAY(),1,0),G104,E104,J104,100,2,1)</f>
      </c>
      <c r="L104" s="12">
        <v>14</v>
      </c>
      <c r="M104" s="14">
        <v>97</v>
      </c>
      <c r="N104" s="16">
        <f>yield(+WORKDAY(TODAY(),1,0),G104,E104,M104,100,2,1)</f>
      </c>
    </row>
    <row r="105" spans="1:14">
      <c r="A105" s="5" t="s">
        <v>98</v>
      </c>
      <c r="B105" s="5" t="s">
        <v>99</v>
      </c>
      <c r="C105" s="5" t="s">
        <v>68</v>
      </c>
      <c r="D105" s="7">
        <v>100000.0</v>
      </c>
      <c r="E105" s="9">
        <v>0.1625</v>
      </c>
      <c r="F105" s="11" t="s">
        <v>100</v>
      </c>
      <c r="G105" s="11" t="s">
        <v>101</v>
      </c>
      <c r="H105" s="7">
        <v>96.5</v>
      </c>
      <c r="I105" s="13">
        <v>42</v>
      </c>
      <c r="J105" s="15">
        <v>93</v>
      </c>
      <c r="K105" s="17">
        <f>yield(+WORKDAY(TODAY(),1,0),G105,E105,J105,100,2,1)</f>
      </c>
      <c r="L105" s="13">
        <v>97</v>
      </c>
      <c r="M105" s="15">
        <v>97.495</v>
      </c>
      <c r="N105" s="17">
        <f>yield(+WORKDAY(TODAY(),1,0),G105,E105,M105,100,2,1)</f>
      </c>
    </row>
    <row r="106" spans="1:14">
      <c r="A106" s="4" t="s">
        <v>98</v>
      </c>
      <c r="B106" s="4" t="s">
        <v>99</v>
      </c>
      <c r="C106" s="4" t="s">
        <v>68</v>
      </c>
      <c r="D106" s="6">
        <v>100000.0</v>
      </c>
      <c r="E106" s="8">
        <v>0.1625</v>
      </c>
      <c r="F106" s="10" t="s">
        <v>100</v>
      </c>
      <c r="G106" s="10" t="s">
        <v>101</v>
      </c>
      <c r="H106" s="6">
        <v>96.5</v>
      </c>
      <c r="I106" s="12" t="s">
        <v>18</v>
      </c>
      <c r="J106" s="14" t="s">
        <v>18</v>
      </c>
      <c r="K106" s="16" t="s">
        <v>18</v>
      </c>
      <c r="L106" s="12">
        <v>68</v>
      </c>
      <c r="M106" s="14">
        <v>97.5</v>
      </c>
      <c r="N106" s="16">
        <f>yield(+WORKDAY(TODAY(),1,0),G106,E106,M106,100,2,1)</f>
      </c>
    </row>
    <row r="107" spans="1:14">
      <c r="A107" s="5" t="s">
        <v>98</v>
      </c>
      <c r="B107" s="5" t="s">
        <v>99</v>
      </c>
      <c r="C107" s="5" t="s">
        <v>68</v>
      </c>
      <c r="D107" s="7">
        <v>100000.0</v>
      </c>
      <c r="E107" s="9">
        <v>0.1625</v>
      </c>
      <c r="F107" s="11" t="s">
        <v>100</v>
      </c>
      <c r="G107" s="11" t="s">
        <v>101</v>
      </c>
      <c r="H107" s="7">
        <v>96.5</v>
      </c>
      <c r="I107" s="13" t="s">
        <v>18</v>
      </c>
      <c r="J107" s="15" t="s">
        <v>18</v>
      </c>
      <c r="K107" s="17" t="s">
        <v>18</v>
      </c>
      <c r="L107" s="13">
        <v>1</v>
      </c>
      <c r="M107" s="15">
        <v>98</v>
      </c>
      <c r="N107" s="17">
        <f>yield(+WORKDAY(TODAY(),1,0),G107,E107,M107,100,2,1)</f>
      </c>
    </row>
    <row r="108" spans="1:14">
      <c r="A108" s="4" t="s">
        <v>98</v>
      </c>
      <c r="B108" s="4" t="s">
        <v>99</v>
      </c>
      <c r="C108" s="4" t="s">
        <v>68</v>
      </c>
      <c r="D108" s="6">
        <v>100000.0</v>
      </c>
      <c r="E108" s="8">
        <v>0.1625</v>
      </c>
      <c r="F108" s="10" t="s">
        <v>100</v>
      </c>
      <c r="G108" s="10" t="s">
        <v>101</v>
      </c>
      <c r="H108" s="6">
        <v>96.5</v>
      </c>
      <c r="I108" s="12" t="s">
        <v>18</v>
      </c>
      <c r="J108" s="14" t="s">
        <v>18</v>
      </c>
      <c r="K108" s="16" t="s">
        <v>18</v>
      </c>
      <c r="L108" s="12">
        <v>10</v>
      </c>
      <c r="M108" s="14">
        <v>100</v>
      </c>
      <c r="N108" s="16">
        <f>yield(+WORKDAY(TODAY(),1,0),G108,E108,M108,100,2,1)</f>
      </c>
    </row>
    <row r="109" spans="1:14">
      <c r="A109" s="5" t="s">
        <v>98</v>
      </c>
      <c r="B109" s="5" t="s">
        <v>99</v>
      </c>
      <c r="C109" s="5" t="s">
        <v>68</v>
      </c>
      <c r="D109" s="7">
        <v>100000.0</v>
      </c>
      <c r="E109" s="9">
        <v>0.1625</v>
      </c>
      <c r="F109" s="11" t="s">
        <v>100</v>
      </c>
      <c r="G109" s="11" t="s">
        <v>101</v>
      </c>
      <c r="H109" s="7">
        <v>96.5</v>
      </c>
      <c r="I109" s="13" t="s">
        <v>18</v>
      </c>
      <c r="J109" s="15" t="s">
        <v>18</v>
      </c>
      <c r="K109" s="17" t="s">
        <v>18</v>
      </c>
      <c r="L109" s="13">
        <v>48</v>
      </c>
      <c r="M109" s="15">
        <v>101</v>
      </c>
      <c r="N109" s="17">
        <f>yield(+WORKDAY(TODAY(),1,0),G109,E109,M109,100,2,1)</f>
      </c>
    </row>
    <row r="110" spans="1:14">
      <c r="A110" s="4" t="s">
        <v>98</v>
      </c>
      <c r="B110" s="4" t="s">
        <v>99</v>
      </c>
      <c r="C110" s="4" t="s">
        <v>68</v>
      </c>
      <c r="D110" s="6">
        <v>100000.0</v>
      </c>
      <c r="E110" s="8">
        <v>0.1625</v>
      </c>
      <c r="F110" s="10" t="s">
        <v>100</v>
      </c>
      <c r="G110" s="10" t="s">
        <v>101</v>
      </c>
      <c r="H110" s="6">
        <v>96.5</v>
      </c>
      <c r="I110" s="12" t="s">
        <v>18</v>
      </c>
      <c r="J110" s="14" t="s">
        <v>18</v>
      </c>
      <c r="K110" s="16" t="s">
        <v>18</v>
      </c>
      <c r="L110" s="12">
        <v>60</v>
      </c>
      <c r="M110" s="14">
        <v>101.5</v>
      </c>
      <c r="N110" s="16">
        <f>yield(+WORKDAY(TODAY(),1,0),G110,E110,M110,100,2,1)</f>
      </c>
    </row>
    <row r="111" spans="1:14">
      <c r="A111" s="5" t="s">
        <v>102</v>
      </c>
      <c r="B111" s="5" t="s">
        <v>103</v>
      </c>
      <c r="C111" s="5" t="s">
        <v>68</v>
      </c>
      <c r="D111" s="7">
        <v>100000.0</v>
      </c>
      <c r="E111" s="9">
        <v>0.165</v>
      </c>
      <c r="F111" s="11" t="s">
        <v>104</v>
      </c>
      <c r="G111" s="11" t="s">
        <v>105</v>
      </c>
      <c r="H111" s="7">
        <v>97.7</v>
      </c>
      <c r="I111" s="13">
        <v>10</v>
      </c>
      <c r="J111" s="15">
        <v>97</v>
      </c>
      <c r="K111" s="17">
        <f>yield(+WORKDAY(TODAY(),1,0),G111,E111,J111,100,2,1)</f>
      </c>
      <c r="L111" s="13">
        <v>8</v>
      </c>
      <c r="M111" s="15">
        <v>97.5</v>
      </c>
      <c r="N111" s="17">
        <f>yield(+WORKDAY(TODAY(),1,0),G111,E111,M111,100,2,1)</f>
      </c>
    </row>
    <row r="112" spans="1:14">
      <c r="A112" s="4" t="s">
        <v>102</v>
      </c>
      <c r="B112" s="4" t="s">
        <v>103</v>
      </c>
      <c r="C112" s="4" t="s">
        <v>68</v>
      </c>
      <c r="D112" s="6">
        <v>100000.0</v>
      </c>
      <c r="E112" s="8">
        <v>0.165</v>
      </c>
      <c r="F112" s="10" t="s">
        <v>104</v>
      </c>
      <c r="G112" s="10" t="s">
        <v>105</v>
      </c>
      <c r="H112" s="6">
        <v>97.7</v>
      </c>
      <c r="I112" s="12" t="s">
        <v>18</v>
      </c>
      <c r="J112" s="14" t="s">
        <v>18</v>
      </c>
      <c r="K112" s="16" t="s">
        <v>18</v>
      </c>
      <c r="L112" s="12">
        <v>48</v>
      </c>
      <c r="M112" s="14">
        <v>97.7</v>
      </c>
      <c r="N112" s="16">
        <f>yield(+WORKDAY(TODAY(),1,0),G112,E112,M112,100,2,1)</f>
      </c>
    </row>
    <row r="113" spans="1:14">
      <c r="A113" s="5" t="s">
        <v>102</v>
      </c>
      <c r="B113" s="5" t="s">
        <v>103</v>
      </c>
      <c r="C113" s="5" t="s">
        <v>68</v>
      </c>
      <c r="D113" s="7">
        <v>100000.0</v>
      </c>
      <c r="E113" s="9">
        <v>0.165</v>
      </c>
      <c r="F113" s="11" t="s">
        <v>104</v>
      </c>
      <c r="G113" s="11" t="s">
        <v>105</v>
      </c>
      <c r="H113" s="7">
        <v>97.7</v>
      </c>
      <c r="I113" s="13" t="s">
        <v>18</v>
      </c>
      <c r="J113" s="15" t="s">
        <v>18</v>
      </c>
      <c r="K113" s="17" t="s">
        <v>18</v>
      </c>
      <c r="L113" s="13">
        <v>2</v>
      </c>
      <c r="M113" s="15">
        <v>97.8</v>
      </c>
      <c r="N113" s="17">
        <f>yield(+WORKDAY(TODAY(),1,0),G113,E113,M113,100,2,1)</f>
      </c>
    </row>
    <row r="114" spans="1:14">
      <c r="A114" s="4" t="s">
        <v>102</v>
      </c>
      <c r="B114" s="4" t="s">
        <v>103</v>
      </c>
      <c r="C114" s="4" t="s">
        <v>68</v>
      </c>
      <c r="D114" s="6">
        <v>100000.0</v>
      </c>
      <c r="E114" s="8">
        <v>0.165</v>
      </c>
      <c r="F114" s="10" t="s">
        <v>104</v>
      </c>
      <c r="G114" s="10" t="s">
        <v>105</v>
      </c>
      <c r="H114" s="6">
        <v>97.7</v>
      </c>
      <c r="I114" s="12" t="s">
        <v>18</v>
      </c>
      <c r="J114" s="14" t="s">
        <v>18</v>
      </c>
      <c r="K114" s="16" t="s">
        <v>18</v>
      </c>
      <c r="L114" s="12">
        <v>202</v>
      </c>
      <c r="M114" s="14">
        <v>97.90000000000001</v>
      </c>
      <c r="N114" s="16">
        <f>yield(+WORKDAY(TODAY(),1,0),G114,E114,M114,100,2,1)</f>
      </c>
    </row>
    <row r="115" spans="1:14">
      <c r="A115" s="5" t="s">
        <v>102</v>
      </c>
      <c r="B115" s="5" t="s">
        <v>103</v>
      </c>
      <c r="C115" s="5" t="s">
        <v>68</v>
      </c>
      <c r="D115" s="7">
        <v>100000.0</v>
      </c>
      <c r="E115" s="9">
        <v>0.165</v>
      </c>
      <c r="F115" s="11" t="s">
        <v>104</v>
      </c>
      <c r="G115" s="11" t="s">
        <v>105</v>
      </c>
      <c r="H115" s="7">
        <v>97.7</v>
      </c>
      <c r="I115" s="13" t="s">
        <v>18</v>
      </c>
      <c r="J115" s="15" t="s">
        <v>18</v>
      </c>
      <c r="K115" s="17" t="s">
        <v>18</v>
      </c>
      <c r="L115" s="13">
        <v>8</v>
      </c>
      <c r="M115" s="15">
        <v>98</v>
      </c>
      <c r="N115" s="17">
        <f>yield(+WORKDAY(TODAY(),1,0),G115,E115,M115,100,2,1)</f>
      </c>
    </row>
    <row r="116" spans="1:14">
      <c r="A116" s="4" t="s">
        <v>106</v>
      </c>
      <c r="B116" s="4" t="s">
        <v>107</v>
      </c>
      <c r="C116" s="4" t="s">
        <v>68</v>
      </c>
      <c r="D116" s="6">
        <v>100000.0</v>
      </c>
      <c r="E116" s="8">
        <v>0.17</v>
      </c>
      <c r="F116" s="10" t="s">
        <v>108</v>
      </c>
      <c r="G116" s="10" t="s">
        <v>109</v>
      </c>
      <c r="H116" s="6">
        <v>99.0</v>
      </c>
      <c r="I116" s="12" t="s">
        <v>18</v>
      </c>
      <c r="J116" s="14" t="s">
        <v>18</v>
      </c>
      <c r="K116" s="16" t="s">
        <v>18</v>
      </c>
      <c r="L116" s="12">
        <v>108</v>
      </c>
      <c r="M116" s="14">
        <v>99</v>
      </c>
      <c r="N116" s="16">
        <f>yield(+WORKDAY(TODAY(),1,0),G116,E116,M116,100,2,1)</f>
      </c>
    </row>
    <row r="117" spans="1:14">
      <c r="A117" s="5" t="s">
        <v>106</v>
      </c>
      <c r="B117" s="5" t="s">
        <v>107</v>
      </c>
      <c r="C117" s="5" t="s">
        <v>68</v>
      </c>
      <c r="D117" s="7">
        <v>100000.0</v>
      </c>
      <c r="E117" s="9">
        <v>0.17</v>
      </c>
      <c r="F117" s="11" t="s">
        <v>108</v>
      </c>
      <c r="G117" s="11" t="s">
        <v>109</v>
      </c>
      <c r="H117" s="7">
        <v>99.0</v>
      </c>
      <c r="I117" s="13" t="s">
        <v>18</v>
      </c>
      <c r="J117" s="15" t="s">
        <v>18</v>
      </c>
      <c r="K117" s="17" t="s">
        <v>18</v>
      </c>
      <c r="L117" s="13">
        <v>6354</v>
      </c>
      <c r="M117" s="15">
        <v>100</v>
      </c>
      <c r="N117" s="17">
        <f>yield(+WORKDAY(TODAY(),1,0),G117,E117,M117,100,2,1)</f>
      </c>
    </row>
    <row r="118" spans="1:14">
      <c r="A118" s="4" t="s">
        <v>106</v>
      </c>
      <c r="B118" s="4" t="s">
        <v>107</v>
      </c>
      <c r="C118" s="4" t="s">
        <v>68</v>
      </c>
      <c r="D118" s="6">
        <v>100000.0</v>
      </c>
      <c r="E118" s="8">
        <v>0.17</v>
      </c>
      <c r="F118" s="10" t="s">
        <v>108</v>
      </c>
      <c r="G118" s="10" t="s">
        <v>109</v>
      </c>
      <c r="H118" s="6">
        <v>99.0</v>
      </c>
      <c r="I118" s="12" t="s">
        <v>18</v>
      </c>
      <c r="J118" s="14" t="s">
        <v>18</v>
      </c>
      <c r="K118" s="16" t="s">
        <v>18</v>
      </c>
      <c r="L118" s="12">
        <v>4751</v>
      </c>
      <c r="M118" s="14">
        <v>101.5</v>
      </c>
      <c r="N118" s="16">
        <f>yield(+WORKDAY(TODAY(),1,0),G118,E118,M118,100,2,1)</f>
      </c>
    </row>
    <row r="119" spans="1:14">
      <c r="A119" s="5" t="s">
        <v>106</v>
      </c>
      <c r="B119" s="5" t="s">
        <v>107</v>
      </c>
      <c r="C119" s="5" t="s">
        <v>68</v>
      </c>
      <c r="D119" s="7">
        <v>100000.0</v>
      </c>
      <c r="E119" s="9">
        <v>0.17</v>
      </c>
      <c r="F119" s="11" t="s">
        <v>108</v>
      </c>
      <c r="G119" s="11" t="s">
        <v>109</v>
      </c>
      <c r="H119" s="7">
        <v>99.0</v>
      </c>
      <c r="I119" s="13" t="s">
        <v>18</v>
      </c>
      <c r="J119" s="15" t="s">
        <v>18</v>
      </c>
      <c r="K119" s="17" t="s">
        <v>18</v>
      </c>
      <c r="L119" s="13">
        <v>22</v>
      </c>
      <c r="M119" s="15">
        <v>105</v>
      </c>
      <c r="N119" s="17">
        <f>yield(+WORKDAY(TODAY(),1,0),G119,E119,M119,100,2,1)</f>
      </c>
    </row>
    <row r="120" spans="1:14">
      <c r="A120" s="4" t="s">
        <v>110</v>
      </c>
      <c r="B120" s="4" t="s">
        <v>111</v>
      </c>
      <c r="C120" s="4" t="s">
        <v>68</v>
      </c>
      <c r="D120" s="6">
        <v>100000.0</v>
      </c>
      <c r="E120" s="8">
        <v>0.166</v>
      </c>
      <c r="F120" s="10" t="s">
        <v>96</v>
      </c>
      <c r="G120" s="10" t="s">
        <v>112</v>
      </c>
      <c r="H120" s="6">
        <v>92.0</v>
      </c>
      <c r="I120" s="12">
        <v>5</v>
      </c>
      <c r="J120" s="14">
        <v>90</v>
      </c>
      <c r="K120" s="16">
        <f>yield(+WORKDAY(TODAY(),1,0),G120,E120,J120,100,2,1)</f>
      </c>
      <c r="L120" s="12" t="s">
        <v>18</v>
      </c>
      <c r="M120" s="14" t="s">
        <v>18</v>
      </c>
      <c r="N120" s="16" t="s">
        <v>18</v>
      </c>
    </row>
    <row r="121" spans="1:14">
      <c r="A121" s="5" t="s">
        <v>113</v>
      </c>
      <c r="B121" s="5" t="s">
        <v>114</v>
      </c>
      <c r="C121" s="5" t="s">
        <v>68</v>
      </c>
      <c r="D121" s="7">
        <v>1000.0</v>
      </c>
      <c r="E121" s="9">
        <v>0.21</v>
      </c>
      <c r="F121" s="11" t="s">
        <v>115</v>
      </c>
      <c r="G121" s="11" t="s">
        <v>116</v>
      </c>
      <c r="H121" s="7">
        <v>116.0</v>
      </c>
      <c r="I121" s="13">
        <v>126</v>
      </c>
      <c r="J121" s="15">
        <v>115</v>
      </c>
      <c r="K121" s="17">
        <f>yield(+WORKDAY(TODAY(),1,0),G121,E121,J121,100,2,1)</f>
      </c>
      <c r="L121" s="13">
        <v>75030</v>
      </c>
      <c r="M121" s="15">
        <v>116</v>
      </c>
      <c r="N121" s="17">
        <f>yield(+WORKDAY(TODAY(),1,0),G121,E121,M121,100,2,1)</f>
      </c>
    </row>
    <row r="122" spans="1:14">
      <c r="A122" s="4" t="s">
        <v>113</v>
      </c>
      <c r="B122" s="4" t="s">
        <v>114</v>
      </c>
      <c r="C122" s="4" t="s">
        <v>68</v>
      </c>
      <c r="D122" s="6">
        <v>1000.0</v>
      </c>
      <c r="E122" s="8">
        <v>0.21</v>
      </c>
      <c r="F122" s="10" t="s">
        <v>115</v>
      </c>
      <c r="G122" s="10" t="s">
        <v>116</v>
      </c>
      <c r="H122" s="6">
        <v>116.0</v>
      </c>
      <c r="I122" s="12">
        <v>1</v>
      </c>
      <c r="J122" s="14">
        <v>114</v>
      </c>
      <c r="K122" s="16">
        <f>yield(+WORKDAY(TODAY(),1,0),G122,E122,J122,100,2,1)</f>
      </c>
      <c r="L122" s="12">
        <v>400</v>
      </c>
      <c r="M122" s="14">
        <v>120</v>
      </c>
      <c r="N122" s="16">
        <f>yield(+WORKDAY(TODAY(),1,0),G122,E122,M122,100,2,1)</f>
      </c>
    </row>
    <row r="123" spans="1:14">
      <c r="A123" s="5" t="s">
        <v>113</v>
      </c>
      <c r="B123" s="5" t="s">
        <v>114</v>
      </c>
      <c r="C123" s="5" t="s">
        <v>68</v>
      </c>
      <c r="D123" s="7">
        <v>1000.0</v>
      </c>
      <c r="E123" s="9">
        <v>0.21</v>
      </c>
      <c r="F123" s="11" t="s">
        <v>115</v>
      </c>
      <c r="G123" s="11" t="s">
        <v>116</v>
      </c>
      <c r="H123" s="7">
        <v>116.0</v>
      </c>
      <c r="I123" s="13">
        <v>830</v>
      </c>
      <c r="J123" s="15">
        <v>112.010000000000005</v>
      </c>
      <c r="K123" s="17">
        <f>yield(+WORKDAY(TODAY(),1,0),G123,E123,J123,100,2,1)</f>
      </c>
      <c r="L123" s="13">
        <v>5070</v>
      </c>
      <c r="M123" s="15">
        <v>122</v>
      </c>
      <c r="N123" s="17">
        <f>yield(+WORKDAY(TODAY(),1,0),G123,E123,M123,100,2,1)</f>
      </c>
    </row>
    <row r="124" spans="1:14">
      <c r="A124" s="4" t="s">
        <v>113</v>
      </c>
      <c r="B124" s="4" t="s">
        <v>114</v>
      </c>
      <c r="C124" s="4" t="s">
        <v>68</v>
      </c>
      <c r="D124" s="6">
        <v>1000.0</v>
      </c>
      <c r="E124" s="8">
        <v>0.21</v>
      </c>
      <c r="F124" s="10" t="s">
        <v>115</v>
      </c>
      <c r="G124" s="10" t="s">
        <v>116</v>
      </c>
      <c r="H124" s="6">
        <v>116.0</v>
      </c>
      <c r="I124" s="12">
        <v>2000</v>
      </c>
      <c r="J124" s="14">
        <v>106</v>
      </c>
      <c r="K124" s="16">
        <f>yield(+WORKDAY(TODAY(),1,0),G124,E124,J124,100,2,1)</f>
      </c>
      <c r="L124" s="12" t="s">
        <v>18</v>
      </c>
      <c r="M124" s="14" t="s">
        <v>18</v>
      </c>
      <c r="N124" s="16" t="s">
        <v>18</v>
      </c>
    </row>
    <row r="125" spans="1:14">
      <c r="A125" s="5" t="s">
        <v>113</v>
      </c>
      <c r="B125" s="5" t="s">
        <v>114</v>
      </c>
      <c r="C125" s="5" t="s">
        <v>68</v>
      </c>
      <c r="D125" s="7">
        <v>1000.0</v>
      </c>
      <c r="E125" s="9">
        <v>0.21</v>
      </c>
      <c r="F125" s="11" t="s">
        <v>115</v>
      </c>
      <c r="G125" s="11" t="s">
        <v>116</v>
      </c>
      <c r="H125" s="7">
        <v>116.0</v>
      </c>
      <c r="I125" s="13">
        <v>600</v>
      </c>
      <c r="J125" s="15">
        <v>105</v>
      </c>
      <c r="K125" s="17">
        <f>yield(+WORKDAY(TODAY(),1,0),G125,E125,J125,100,2,1)</f>
      </c>
      <c r="L125" s="13" t="s">
        <v>18</v>
      </c>
      <c r="M125" s="15" t="s">
        <v>18</v>
      </c>
      <c r="N125" s="17" t="s">
        <v>18</v>
      </c>
    </row>
    <row r="126" spans="1:14">
      <c r="A126" s="4" t="s">
        <v>113</v>
      </c>
      <c r="B126" s="4" t="s">
        <v>114</v>
      </c>
      <c r="C126" s="4" t="s">
        <v>68</v>
      </c>
      <c r="D126" s="6">
        <v>1000.0</v>
      </c>
      <c r="E126" s="8">
        <v>0.21</v>
      </c>
      <c r="F126" s="10" t="s">
        <v>115</v>
      </c>
      <c r="G126" s="10" t="s">
        <v>116</v>
      </c>
      <c r="H126" s="6">
        <v>116.0</v>
      </c>
      <c r="I126" s="12">
        <v>10000</v>
      </c>
      <c r="J126" s="14">
        <v>100</v>
      </c>
      <c r="K126" s="16">
        <f>yield(+WORKDAY(TODAY(),1,0),G126,E126,J126,100,2,1)</f>
      </c>
      <c r="L126" s="12" t="s">
        <v>18</v>
      </c>
      <c r="M126" s="14" t="s">
        <v>18</v>
      </c>
      <c r="N126" s="16" t="s">
        <v>18</v>
      </c>
    </row>
    <row r="127" spans="1:14">
      <c r="A127" s="5" t="s">
        <v>117</v>
      </c>
      <c r="B127" s="5" t="s">
        <v>118</v>
      </c>
      <c r="C127" s="5" t="s">
        <v>68</v>
      </c>
      <c r="D127" s="7">
        <v>1000.0</v>
      </c>
      <c r="E127" s="9">
        <v>0.23</v>
      </c>
      <c r="F127" s="11" t="s">
        <v>119</v>
      </c>
      <c r="G127" s="11" t="s">
        <v>120</v>
      </c>
      <c r="H127" s="7">
        <v>128.0</v>
      </c>
      <c r="I127" s="13">
        <v>300</v>
      </c>
      <c r="J127" s="15">
        <v>125</v>
      </c>
      <c r="K127" s="17">
        <f>yield(+WORKDAY(TODAY(),1,0),G127,E127,J127,100,2,1)</f>
      </c>
      <c r="L127" s="13">
        <v>37209</v>
      </c>
      <c r="M127" s="15">
        <v>128</v>
      </c>
      <c r="N127" s="17">
        <f>yield(+WORKDAY(TODAY(),1,0),G127,E127,M127,100,2,1)</f>
      </c>
    </row>
    <row r="128" spans="1:14">
      <c r="A128" s="4" t="s">
        <v>117</v>
      </c>
      <c r="B128" s="4" t="s">
        <v>118</v>
      </c>
      <c r="C128" s="4" t="s">
        <v>68</v>
      </c>
      <c r="D128" s="6">
        <v>1000.0</v>
      </c>
      <c r="E128" s="8">
        <v>0.23</v>
      </c>
      <c r="F128" s="10" t="s">
        <v>119</v>
      </c>
      <c r="G128" s="10" t="s">
        <v>120</v>
      </c>
      <c r="H128" s="6">
        <v>128.0</v>
      </c>
      <c r="I128" s="12">
        <v>3000</v>
      </c>
      <c r="J128" s="14">
        <v>120.5001</v>
      </c>
      <c r="K128" s="16">
        <f>yield(+WORKDAY(TODAY(),1,0),G128,E128,J128,100,2,1)</f>
      </c>
      <c r="L128" s="12">
        <v>3000</v>
      </c>
      <c r="M128" s="14">
        <v>128.5</v>
      </c>
      <c r="N128" s="16">
        <f>yield(+WORKDAY(TODAY(),1,0),G128,E128,M128,100,2,1)</f>
      </c>
    </row>
    <row r="129" spans="1:14">
      <c r="A129" s="5" t="s">
        <v>117</v>
      </c>
      <c r="B129" s="5" t="s">
        <v>118</v>
      </c>
      <c r="C129" s="5" t="s">
        <v>68</v>
      </c>
      <c r="D129" s="7">
        <v>1000.0</v>
      </c>
      <c r="E129" s="9">
        <v>0.23</v>
      </c>
      <c r="F129" s="11" t="s">
        <v>119</v>
      </c>
      <c r="G129" s="11" t="s">
        <v>120</v>
      </c>
      <c r="H129" s="7">
        <v>128.0</v>
      </c>
      <c r="I129" s="13">
        <v>7537</v>
      </c>
      <c r="J129" s="15">
        <v>120.5</v>
      </c>
      <c r="K129" s="17">
        <f>yield(+WORKDAY(TODAY(),1,0),G129,E129,J129,100,2,1)</f>
      </c>
      <c r="L129" s="13">
        <v>10237</v>
      </c>
      <c r="M129" s="15">
        <v>130</v>
      </c>
      <c r="N129" s="17">
        <f>yield(+WORKDAY(TODAY(),1,0),G129,E129,M129,100,2,1)</f>
      </c>
    </row>
    <row r="130" spans="1:14">
      <c r="A130" s="4" t="s">
        <v>117</v>
      </c>
      <c r="B130" s="4" t="s">
        <v>118</v>
      </c>
      <c r="C130" s="4" t="s">
        <v>68</v>
      </c>
      <c r="D130" s="6">
        <v>1000.0</v>
      </c>
      <c r="E130" s="8">
        <v>0.23</v>
      </c>
      <c r="F130" s="10" t="s">
        <v>119</v>
      </c>
      <c r="G130" s="10" t="s">
        <v>120</v>
      </c>
      <c r="H130" s="6">
        <v>128.0</v>
      </c>
      <c r="I130" s="12">
        <v>5870</v>
      </c>
      <c r="J130" s="14">
        <v>120</v>
      </c>
      <c r="K130" s="16">
        <f>yield(+WORKDAY(TODAY(),1,0),G130,E130,J130,100,2,1)</f>
      </c>
      <c r="L130" s="12">
        <v>651</v>
      </c>
      <c r="M130" s="14">
        <v>134</v>
      </c>
      <c r="N130" s="16">
        <f>yield(+WORKDAY(TODAY(),1,0),G130,E130,M130,100,2,1)</f>
      </c>
    </row>
    <row r="131" spans="1:14">
      <c r="A131" s="5" t="s">
        <v>117</v>
      </c>
      <c r="B131" s="5" t="s">
        <v>118</v>
      </c>
      <c r="C131" s="5" t="s">
        <v>68</v>
      </c>
      <c r="D131" s="7">
        <v>1000.0</v>
      </c>
      <c r="E131" s="9">
        <v>0.23</v>
      </c>
      <c r="F131" s="11" t="s">
        <v>119</v>
      </c>
      <c r="G131" s="11" t="s">
        <v>120</v>
      </c>
      <c r="H131" s="7">
        <v>128.0</v>
      </c>
      <c r="I131" s="13">
        <v>520000</v>
      </c>
      <c r="J131" s="15">
        <v>115.754</v>
      </c>
      <c r="K131" s="17">
        <f>yield(+WORKDAY(TODAY(),1,0),G131,E131,J131,100,2,1)</f>
      </c>
      <c r="L131" s="13">
        <v>12669</v>
      </c>
      <c r="M131" s="15">
        <v>140</v>
      </c>
      <c r="N131" s="17">
        <f>yield(+WORKDAY(TODAY(),1,0),G131,E131,M131,100,2,1)</f>
      </c>
    </row>
    <row r="132" spans="1:14">
      <c r="A132" s="4" t="s">
        <v>117</v>
      </c>
      <c r="B132" s="4" t="s">
        <v>118</v>
      </c>
      <c r="C132" s="4" t="s">
        <v>68</v>
      </c>
      <c r="D132" s="6">
        <v>1000.0</v>
      </c>
      <c r="E132" s="8">
        <v>0.23</v>
      </c>
      <c r="F132" s="10" t="s">
        <v>119</v>
      </c>
      <c r="G132" s="10" t="s">
        <v>120</v>
      </c>
      <c r="H132" s="6">
        <v>128.0</v>
      </c>
      <c r="I132" s="12">
        <v>11525</v>
      </c>
      <c r="J132" s="14">
        <v>104</v>
      </c>
      <c r="K132" s="16">
        <f>yield(+WORKDAY(TODAY(),1,0),G132,E132,J132,100,2,1)</f>
      </c>
      <c r="L132" s="12" t="s">
        <v>18</v>
      </c>
      <c r="M132" s="14" t="s">
        <v>18</v>
      </c>
      <c r="N132" s="16" t="s">
        <v>18</v>
      </c>
    </row>
    <row r="133" spans="1:14">
      <c r="A133" s="5" t="s">
        <v>117</v>
      </c>
      <c r="B133" s="5" t="s">
        <v>118</v>
      </c>
      <c r="C133" s="5" t="s">
        <v>68</v>
      </c>
      <c r="D133" s="7">
        <v>1000.0</v>
      </c>
      <c r="E133" s="9">
        <v>0.23</v>
      </c>
      <c r="F133" s="11" t="s">
        <v>119</v>
      </c>
      <c r="G133" s="11" t="s">
        <v>120</v>
      </c>
      <c r="H133" s="7">
        <v>128.0</v>
      </c>
      <c r="I133" s="13">
        <v>2000</v>
      </c>
      <c r="J133" s="15">
        <v>100</v>
      </c>
      <c r="K133" s="17">
        <f>yield(+WORKDAY(TODAY(),1,0),G133,E133,J133,100,2,1)</f>
      </c>
      <c r="L133" s="13" t="s">
        <v>18</v>
      </c>
      <c r="M133" s="15" t="s">
        <v>18</v>
      </c>
      <c r="N133" s="17" t="s">
        <v>18</v>
      </c>
    </row>
    <row r="134" spans="1:14">
      <c r="A134" s="4" t="s">
        <v>121</v>
      </c>
      <c r="B134" s="4" t="s">
        <v>122</v>
      </c>
      <c r="C134" s="4" t="s">
        <v>68</v>
      </c>
      <c r="D134" s="6">
        <v>1000.0</v>
      </c>
      <c r="E134" s="8">
        <v>0.173</v>
      </c>
      <c r="F134" s="10" t="s">
        <v>123</v>
      </c>
      <c r="G134" s="10" t="s">
        <v>124</v>
      </c>
      <c r="H134" s="6">
        <v>100.0</v>
      </c>
      <c r="I134" s="12">
        <v>4257252</v>
      </c>
      <c r="J134" s="14">
        <v>100</v>
      </c>
      <c r="K134" s="16">
        <f>yield(+WORKDAY(TODAY(),1,0),G134,E134,J134,100,2,1)</f>
      </c>
      <c r="L134" s="12">
        <v>4257058</v>
      </c>
      <c r="M134" s="14">
        <v>102.85899999999999</v>
      </c>
      <c r="N134" s="16">
        <f>yield(+WORKDAY(TODAY(),1,0),G134,E134,M134,100,2,1)</f>
      </c>
    </row>
    <row r="135" spans="1:14">
      <c r="A135" s="5" t="s">
        <v>121</v>
      </c>
      <c r="B135" s="5" t="s">
        <v>122</v>
      </c>
      <c r="C135" s="5" t="s">
        <v>68</v>
      </c>
      <c r="D135" s="7">
        <v>1000.0</v>
      </c>
      <c r="E135" s="9">
        <v>0.173</v>
      </c>
      <c r="F135" s="11" t="s">
        <v>123</v>
      </c>
      <c r="G135" s="11" t="s">
        <v>124</v>
      </c>
      <c r="H135" s="7">
        <v>100.0</v>
      </c>
      <c r="I135" s="13" t="s">
        <v>18</v>
      </c>
      <c r="J135" s="15" t="s">
        <v>18</v>
      </c>
      <c r="K135" s="17" t="s">
        <v>18</v>
      </c>
      <c r="L135" s="13">
        <v>760949</v>
      </c>
      <c r="M135" s="15">
        <v>102.907</v>
      </c>
      <c r="N135" s="17">
        <f>yield(+WORKDAY(TODAY(),1,0),G135,E135,M135,100,2,1)</f>
      </c>
    </row>
    <row r="136" spans="1:14">
      <c r="A136" s="4" t="s">
        <v>121</v>
      </c>
      <c r="B136" s="4" t="s">
        <v>122</v>
      </c>
      <c r="C136" s="4" t="s">
        <v>68</v>
      </c>
      <c r="D136" s="6">
        <v>1000.0</v>
      </c>
      <c r="E136" s="8">
        <v>0.173</v>
      </c>
      <c r="F136" s="10" t="s">
        <v>123</v>
      </c>
      <c r="G136" s="10" t="s">
        <v>124</v>
      </c>
      <c r="H136" s="6">
        <v>100.0</v>
      </c>
      <c r="I136" s="12" t="s">
        <v>18</v>
      </c>
      <c r="J136" s="14" t="s">
        <v>18</v>
      </c>
      <c r="K136" s="16" t="s">
        <v>18</v>
      </c>
      <c r="L136" s="12">
        <v>131740</v>
      </c>
      <c r="M136" s="14">
        <v>103</v>
      </c>
      <c r="N136" s="16">
        <f>yield(+WORKDAY(TODAY(),1,0),G136,E136,M136,100,2,1)</f>
      </c>
    </row>
    <row r="137" spans="1:14">
      <c r="A137" s="5" t="s">
        <v>125</v>
      </c>
      <c r="B137" s="5" t="s">
        <v>126</v>
      </c>
      <c r="C137" s="5" t="s">
        <v>68</v>
      </c>
      <c r="D137" s="7">
        <v>1000.0</v>
      </c>
      <c r="E137" s="9">
        <v>0.1915</v>
      </c>
      <c r="F137" s="11" t="s">
        <v>127</v>
      </c>
      <c r="G137" s="11" t="s">
        <v>128</v>
      </c>
      <c r="H137" s="7">
        <v>108.75</v>
      </c>
      <c r="I137" s="13">
        <v>40</v>
      </c>
      <c r="J137" s="15">
        <v>100</v>
      </c>
      <c r="K137" s="17">
        <f>yield(+WORKDAY(TODAY(),1,0),G137,E137,J137,100,2,1)</f>
      </c>
      <c r="L137" s="13">
        <v>313317</v>
      </c>
      <c r="M137" s="15">
        <v>108.75</v>
      </c>
      <c r="N137" s="17">
        <f>yield(+WORKDAY(TODAY(),1,0),G137,E137,M137,100,2,1)</f>
      </c>
    </row>
    <row r="138" spans="1:14">
      <c r="A138" s="4" t="s">
        <v>125</v>
      </c>
      <c r="B138" s="4" t="s">
        <v>126</v>
      </c>
      <c r="C138" s="4" t="s">
        <v>68</v>
      </c>
      <c r="D138" s="6">
        <v>1000.0</v>
      </c>
      <c r="E138" s="8">
        <v>0.1915</v>
      </c>
      <c r="F138" s="10" t="s">
        <v>127</v>
      </c>
      <c r="G138" s="10" t="s">
        <v>128</v>
      </c>
      <c r="H138" s="6">
        <v>108.75</v>
      </c>
      <c r="I138" s="12" t="s">
        <v>18</v>
      </c>
      <c r="J138" s="14" t="s">
        <v>18</v>
      </c>
      <c r="K138" s="16" t="s">
        <v>18</v>
      </c>
      <c r="L138" s="12">
        <v>6787</v>
      </c>
      <c r="M138" s="14">
        <v>109</v>
      </c>
      <c r="N138" s="16">
        <f>yield(+WORKDAY(TODAY(),1,0),G138,E138,M138,100,2,1)</f>
      </c>
    </row>
    <row r="139" spans="1:14">
      <c r="A139" s="5" t="s">
        <v>125</v>
      </c>
      <c r="B139" s="5" t="s">
        <v>126</v>
      </c>
      <c r="C139" s="5" t="s">
        <v>68</v>
      </c>
      <c r="D139" s="7">
        <v>1000.0</v>
      </c>
      <c r="E139" s="9">
        <v>0.1915</v>
      </c>
      <c r="F139" s="11" t="s">
        <v>127</v>
      </c>
      <c r="G139" s="11" t="s">
        <v>128</v>
      </c>
      <c r="H139" s="7">
        <v>108.75</v>
      </c>
      <c r="I139" s="13" t="s">
        <v>18</v>
      </c>
      <c r="J139" s="15" t="s">
        <v>18</v>
      </c>
      <c r="K139" s="17" t="s">
        <v>18</v>
      </c>
      <c r="L139" s="13">
        <v>2200</v>
      </c>
      <c r="M139" s="15">
        <v>112</v>
      </c>
      <c r="N139" s="17">
        <f>yield(+WORKDAY(TODAY(),1,0),G139,E139,M139,100,2,1)</f>
      </c>
    </row>
    <row r="140" spans="1:14">
      <c r="A140" s="4" t="s">
        <v>129</v>
      </c>
      <c r="B140" s="4" t="s">
        <v>130</v>
      </c>
      <c r="C140" s="4" t="s">
        <v>68</v>
      </c>
      <c r="D140" s="6">
        <v>1000.0</v>
      </c>
      <c r="E140" s="8">
        <v>0.16</v>
      </c>
      <c r="F140" s="10" t="s">
        <v>131</v>
      </c>
      <c r="G140" s="10" t="s">
        <v>132</v>
      </c>
      <c r="H140" s="6">
        <v>95.5</v>
      </c>
      <c r="I140" s="12">
        <v>4200</v>
      </c>
      <c r="J140" s="14">
        <v>93</v>
      </c>
      <c r="K140" s="16">
        <f>yield(+WORKDAY(TODAY(),1,0),G140,E140,J140,100,2,1)</f>
      </c>
      <c r="L140" s="12">
        <v>114323</v>
      </c>
      <c r="M140" s="14">
        <v>95.5</v>
      </c>
      <c r="N140" s="16">
        <f>yield(+WORKDAY(TODAY(),1,0),G140,E140,M140,100,2,1)</f>
      </c>
    </row>
    <row r="141" spans="1:14">
      <c r="A141" s="5" t="s">
        <v>133</v>
      </c>
      <c r="B141" s="5" t="s">
        <v>134</v>
      </c>
      <c r="C141" s="5" t="s">
        <v>68</v>
      </c>
      <c r="D141" s="7">
        <v>1000.0</v>
      </c>
      <c r="E141" s="9">
        <v>0.1</v>
      </c>
      <c r="F141" s="11" t="s">
        <v>135</v>
      </c>
      <c r="G141" s="11" t="s">
        <v>136</v>
      </c>
      <c r="H141" s="7">
        <v>82.0</v>
      </c>
      <c r="I141" s="13" t="s">
        <v>18</v>
      </c>
      <c r="J141" s="15" t="s">
        <v>18</v>
      </c>
      <c r="K141" s="17" t="s">
        <v>18</v>
      </c>
      <c r="L141" s="13">
        <v>94</v>
      </c>
      <c r="M141" s="15">
        <v>82</v>
      </c>
      <c r="N141" s="17">
        <f>yield(+WORKDAY(TODAY(),1,0),G141,E141,M141,100,2,1)</f>
      </c>
    </row>
    <row r="142" spans="1:14">
      <c r="A142" s="4" t="s">
        <v>137</v>
      </c>
      <c r="B142" s="4" t="s">
        <v>138</v>
      </c>
      <c r="C142" s="4" t="s">
        <v>68</v>
      </c>
      <c r="D142" s="6">
        <v>1000.0</v>
      </c>
      <c r="E142" s="8">
        <v>0.166</v>
      </c>
      <c r="F142" s="10" t="s">
        <v>139</v>
      </c>
      <c r="G142" s="10" t="s">
        <v>140</v>
      </c>
      <c r="H142" s="6">
        <v>88.5</v>
      </c>
      <c r="I142" s="12">
        <v>300</v>
      </c>
      <c r="J142" s="14">
        <v>88.55</v>
      </c>
      <c r="K142" s="16">
        <f>yield(+WORKDAY(TODAY(),1,0),G142,E142,J142,100,2,1)</f>
      </c>
      <c r="L142" s="12" t="s">
        <v>18</v>
      </c>
      <c r="M142" s="14" t="s">
        <v>18</v>
      </c>
      <c r="N142" s="16" t="s">
        <v>18</v>
      </c>
    </row>
    <row r="143" spans="1:14">
      <c r="A143" s="5" t="s">
        <v>137</v>
      </c>
      <c r="B143" s="5" t="s">
        <v>138</v>
      </c>
      <c r="C143" s="5" t="s">
        <v>68</v>
      </c>
      <c r="D143" s="7">
        <v>1000.0</v>
      </c>
      <c r="E143" s="9">
        <v>0.166</v>
      </c>
      <c r="F143" s="11" t="s">
        <v>139</v>
      </c>
      <c r="G143" s="11" t="s">
        <v>140</v>
      </c>
      <c r="H143" s="7">
        <v>88.5</v>
      </c>
      <c r="I143" s="13">
        <v>3087</v>
      </c>
      <c r="J143" s="15">
        <v>88.5</v>
      </c>
      <c r="K143" s="17">
        <f>yield(+WORKDAY(TODAY(),1,0),G143,E143,J143,100,2,1)</f>
      </c>
      <c r="L143" s="13" t="s">
        <v>18</v>
      </c>
      <c r="M143" s="15" t="s">
        <v>18</v>
      </c>
      <c r="N143" s="17" t="s">
        <v>18</v>
      </c>
    </row>
    <row r="144" spans="1:14">
      <c r="A144" s="4" t="s">
        <v>141</v>
      </c>
      <c r="B144" s="4" t="s">
        <v>142</v>
      </c>
      <c r="C144" s="4" t="s">
        <v>68</v>
      </c>
      <c r="D144" s="6">
        <v>1000.0</v>
      </c>
      <c r="E144" s="8">
        <v>0.15</v>
      </c>
      <c r="F144" s="10" t="s">
        <v>143</v>
      </c>
      <c r="G144" s="10" t="s">
        <v>144</v>
      </c>
      <c r="H144" s="6">
        <v>100.0</v>
      </c>
      <c r="I144" s="12" t="s">
        <v>18</v>
      </c>
      <c r="J144" s="14" t="s">
        <v>18</v>
      </c>
      <c r="K144" s="16" t="s">
        <v>18</v>
      </c>
      <c r="L144" s="12">
        <v>1016570</v>
      </c>
      <c r="M144" s="14">
        <v>101.067999999999998</v>
      </c>
      <c r="N144" s="16">
        <f>yield(+WORKDAY(TODAY(),1,0),G144,E144,M144,100,2,1)</f>
      </c>
    </row>
    <row r="145" spans="1:14">
      <c r="A145" s="5" t="s">
        <v>141</v>
      </c>
      <c r="B145" s="5" t="s">
        <v>142</v>
      </c>
      <c r="C145" s="5" t="s">
        <v>68</v>
      </c>
      <c r="D145" s="7">
        <v>1000.0</v>
      </c>
      <c r="E145" s="9">
        <v>0.15</v>
      </c>
      <c r="F145" s="11" t="s">
        <v>143</v>
      </c>
      <c r="G145" s="11" t="s">
        <v>144</v>
      </c>
      <c r="H145" s="7">
        <v>100.0</v>
      </c>
      <c r="I145" s="13" t="s">
        <v>18</v>
      </c>
      <c r="J145" s="15" t="s">
        <v>18</v>
      </c>
      <c r="K145" s="17" t="s">
        <v>18</v>
      </c>
      <c r="L145" s="13">
        <v>267000</v>
      </c>
      <c r="M145" s="15">
        <v>102.5</v>
      </c>
      <c r="N145" s="17">
        <f>yield(+WORKDAY(TODAY(),1,0),G145,E145,M145,100,2,1)</f>
      </c>
    </row>
    <row r="146" spans="1:14">
      <c r="A146" s="4" t="s">
        <v>145</v>
      </c>
      <c r="B146" s="4" t="s">
        <v>146</v>
      </c>
      <c r="C146" s="4" t="s">
        <v>68</v>
      </c>
      <c r="D146" s="6">
        <v>1000.0</v>
      </c>
      <c r="E146" s="8">
        <v>0.15</v>
      </c>
      <c r="F146" s="10" t="s">
        <v>147</v>
      </c>
      <c r="G146" s="10" t="s">
        <v>148</v>
      </c>
      <c r="H146" s="6">
        <v>100.453</v>
      </c>
      <c r="I146" s="12">
        <v>1578527</v>
      </c>
      <c r="J146" s="14">
        <v>99.846</v>
      </c>
      <c r="K146" s="16">
        <f>yield(+WORKDAY(TODAY(),1,0),G146,E146,J146,100,2,1)</f>
      </c>
      <c r="L146" s="12">
        <v>1578527</v>
      </c>
      <c r="M146" s="14">
        <v>101.402</v>
      </c>
      <c r="N146" s="16">
        <f>yield(+WORKDAY(TODAY(),1,0),G146,E146,M146,100,2,1)</f>
      </c>
    </row>
    <row r="147" spans="1:14">
      <c r="A147" s="5" t="s">
        <v>149</v>
      </c>
      <c r="B147" s="5" t="s">
        <v>150</v>
      </c>
      <c r="C147" s="5" t="s">
        <v>68</v>
      </c>
      <c r="D147" s="7">
        <v>1000.0</v>
      </c>
      <c r="E147" s="9">
        <v>0.1675</v>
      </c>
      <c r="F147" s="11" t="s">
        <v>151</v>
      </c>
      <c r="G147" s="11" t="s">
        <v>152</v>
      </c>
      <c r="H147" s="7">
        <v>96.0</v>
      </c>
      <c r="I147" s="13">
        <v>3</v>
      </c>
      <c r="J147" s="15">
        <v>96</v>
      </c>
      <c r="K147" s="17">
        <f>yield(+WORKDAY(TODAY(),1,0),G147,E147,J147,100,2,1)</f>
      </c>
      <c r="L147" s="13">
        <v>9320</v>
      </c>
      <c r="M147" s="15">
        <v>98.84999999999999</v>
      </c>
      <c r="N147" s="17">
        <f>yield(+WORKDAY(TODAY(),1,0),G147,E147,M147,100,2,1)</f>
      </c>
    </row>
    <row r="148" spans="1:14">
      <c r="A148" s="4" t="s">
        <v>149</v>
      </c>
      <c r="B148" s="4" t="s">
        <v>150</v>
      </c>
      <c r="C148" s="4" t="s">
        <v>68</v>
      </c>
      <c r="D148" s="6">
        <v>1000.0</v>
      </c>
      <c r="E148" s="8">
        <v>0.1675</v>
      </c>
      <c r="F148" s="10" t="s">
        <v>151</v>
      </c>
      <c r="G148" s="10" t="s">
        <v>152</v>
      </c>
      <c r="H148" s="6">
        <v>96.0</v>
      </c>
      <c r="I148" s="12" t="s">
        <v>18</v>
      </c>
      <c r="J148" s="14" t="s">
        <v>18</v>
      </c>
      <c r="K148" s="16" t="s">
        <v>18</v>
      </c>
      <c r="L148" s="12">
        <v>300</v>
      </c>
      <c r="M148" s="14">
        <v>99.5</v>
      </c>
      <c r="N148" s="16">
        <f>yield(+WORKDAY(TODAY(),1,0),G148,E148,M148,100,2,1)</f>
      </c>
    </row>
    <row r="149" spans="1:14">
      <c r="A149" s="5" t="s">
        <v>153</v>
      </c>
      <c r="B149" s="5" t="s">
        <v>154</v>
      </c>
      <c r="C149" s="5" t="s">
        <v>68</v>
      </c>
      <c r="D149" s="7">
        <v>1000.0</v>
      </c>
      <c r="E149" s="9">
        <v>0.17</v>
      </c>
      <c r="F149" s="11" t="s">
        <v>155</v>
      </c>
      <c r="G149" s="11" t="s">
        <v>156</v>
      </c>
      <c r="H149" s="7">
        <v>98.0</v>
      </c>
      <c r="I149" s="13">
        <v>200</v>
      </c>
      <c r="J149" s="15">
        <v>95</v>
      </c>
      <c r="K149" s="17">
        <f>yield(+WORKDAY(TODAY(),1,0),G149,E149,J149,100,2,1)</f>
      </c>
      <c r="L149" s="13">
        <v>6773</v>
      </c>
      <c r="M149" s="15">
        <v>98</v>
      </c>
      <c r="N149" s="17">
        <f>yield(+WORKDAY(TODAY(),1,0),G149,E149,M149,100,2,1)</f>
      </c>
    </row>
    <row r="150" spans="1:14">
      <c r="A150" s="4" t="s">
        <v>153</v>
      </c>
      <c r="B150" s="4" t="s">
        <v>154</v>
      </c>
      <c r="C150" s="4" t="s">
        <v>68</v>
      </c>
      <c r="D150" s="6">
        <v>1000.0</v>
      </c>
      <c r="E150" s="8">
        <v>0.17</v>
      </c>
      <c r="F150" s="10" t="s">
        <v>155</v>
      </c>
      <c r="G150" s="10" t="s">
        <v>156</v>
      </c>
      <c r="H150" s="6">
        <v>98.0</v>
      </c>
      <c r="I150" s="12" t="s">
        <v>18</v>
      </c>
      <c r="J150" s="14" t="s">
        <v>18</v>
      </c>
      <c r="K150" s="16" t="s">
        <v>18</v>
      </c>
      <c r="L150" s="12">
        <v>6665</v>
      </c>
      <c r="M150" s="14">
        <v>98.5</v>
      </c>
      <c r="N150" s="16">
        <f>yield(+WORKDAY(TODAY(),1,0),G150,E150,M150,100,2,1)</f>
      </c>
    </row>
    <row r="151" spans="1:14">
      <c r="A151" s="5" t="s">
        <v>157</v>
      </c>
      <c r="B151" s="5" t="s">
        <v>158</v>
      </c>
      <c r="C151" s="5" t="s">
        <v>68</v>
      </c>
      <c r="D151" s="7">
        <v>1000.0</v>
      </c>
      <c r="E151" s="9">
        <v>0.17</v>
      </c>
      <c r="F151" s="11" t="s">
        <v>159</v>
      </c>
      <c r="G151" s="11" t="s">
        <v>160</v>
      </c>
      <c r="H151" s="7">
        <v>97.0</v>
      </c>
      <c r="I151" s="13">
        <v>2700</v>
      </c>
      <c r="J151" s="15">
        <v>94</v>
      </c>
      <c r="K151" s="17">
        <f>yield(+WORKDAY(TODAY(),1,0),G151,E151,J151,100,2,1)</f>
      </c>
      <c r="L151" s="13">
        <v>400</v>
      </c>
      <c r="M151" s="15">
        <v>99.0010000000000048</v>
      </c>
      <c r="N151" s="17">
        <f>yield(+WORKDAY(TODAY(),1,0),G151,E151,M151,100,2,1)</f>
      </c>
    </row>
    <row r="152" spans="1:14">
      <c r="A152" s="4" t="s">
        <v>161</v>
      </c>
      <c r="B152" s="4" t="s">
        <v>162</v>
      </c>
      <c r="C152" s="4" t="s">
        <v>68</v>
      </c>
      <c r="D152" s="6">
        <v>1000.0</v>
      </c>
      <c r="E152" s="8">
        <v>0.17</v>
      </c>
      <c r="F152" s="10" t="s">
        <v>163</v>
      </c>
      <c r="G152" s="10" t="s">
        <v>164</v>
      </c>
      <c r="H152" s="6">
        <v>95.0</v>
      </c>
      <c r="I152" s="12" t="s">
        <v>18</v>
      </c>
      <c r="J152" s="14" t="s">
        <v>18</v>
      </c>
      <c r="K152" s="16" t="s">
        <v>18</v>
      </c>
      <c r="L152" s="12">
        <v>67370</v>
      </c>
      <c r="M152" s="14">
        <v>98.5</v>
      </c>
      <c r="N152" s="16">
        <f>yield(+WORKDAY(TODAY(),1,0),G152,E152,M152,100,2,1)</f>
      </c>
    </row>
    <row r="153" spans="1:14">
      <c r="A153" s="5" t="s">
        <v>161</v>
      </c>
      <c r="B153" s="5" t="s">
        <v>162</v>
      </c>
      <c r="C153" s="5" t="s">
        <v>68</v>
      </c>
      <c r="D153" s="7">
        <v>1000.0</v>
      </c>
      <c r="E153" s="9">
        <v>0.17</v>
      </c>
      <c r="F153" s="11" t="s">
        <v>163</v>
      </c>
      <c r="G153" s="11" t="s">
        <v>164</v>
      </c>
      <c r="H153" s="7">
        <v>95.0</v>
      </c>
      <c r="I153" s="13" t="s">
        <v>18</v>
      </c>
      <c r="J153" s="15" t="s">
        <v>18</v>
      </c>
      <c r="K153" s="17" t="s">
        <v>18</v>
      </c>
      <c r="L153" s="13">
        <v>400</v>
      </c>
      <c r="M153" s="15">
        <v>99.98</v>
      </c>
      <c r="N153" s="17">
        <f>yield(+WORKDAY(TODAY(),1,0),G153,E153,M153,100,2,1)</f>
      </c>
    </row>
    <row r="154" spans="1:14">
      <c r="A154" s="4" t="s">
        <v>161</v>
      </c>
      <c r="B154" s="4" t="s">
        <v>162</v>
      </c>
      <c r="C154" s="4" t="s">
        <v>68</v>
      </c>
      <c r="D154" s="6">
        <v>1000.0</v>
      </c>
      <c r="E154" s="8">
        <v>0.17</v>
      </c>
      <c r="F154" s="10" t="s">
        <v>163</v>
      </c>
      <c r="G154" s="10" t="s">
        <v>164</v>
      </c>
      <c r="H154" s="6">
        <v>95.0</v>
      </c>
      <c r="I154" s="12" t="s">
        <v>18</v>
      </c>
      <c r="J154" s="14" t="s">
        <v>18</v>
      </c>
      <c r="K154" s="16" t="s">
        <v>18</v>
      </c>
      <c r="L154" s="12">
        <v>1735</v>
      </c>
      <c r="M154" s="14">
        <v>100</v>
      </c>
      <c r="N154" s="16">
        <f>yield(+WORKDAY(TODAY(),1,0),G154,E154,M154,100,2,1)</f>
      </c>
    </row>
    <row r="155" spans="1:14">
      <c r="A155" s="5" t="s">
        <v>165</v>
      </c>
      <c r="B155" s="5" t="s">
        <v>166</v>
      </c>
      <c r="C155" s="5" t="s">
        <v>68</v>
      </c>
      <c r="D155" s="7">
        <v>1000.0</v>
      </c>
      <c r="E155" s="9">
        <v>0.17</v>
      </c>
      <c r="F155" s="11" t="s">
        <v>167</v>
      </c>
      <c r="G155" s="11" t="s">
        <v>168</v>
      </c>
      <c r="H155" s="7">
        <v>98.0</v>
      </c>
      <c r="I155" s="13" t="s">
        <v>18</v>
      </c>
      <c r="J155" s="15" t="s">
        <v>18</v>
      </c>
      <c r="K155" s="17" t="s">
        <v>18</v>
      </c>
      <c r="L155" s="13">
        <v>24693</v>
      </c>
      <c r="M155" s="15">
        <v>98</v>
      </c>
      <c r="N155" s="17">
        <f>yield(+WORKDAY(TODAY(),1,0),G155,E155,M155,100,2,1)</f>
      </c>
    </row>
    <row r="156" spans="1:14">
      <c r="A156" s="4" t="s">
        <v>165</v>
      </c>
      <c r="B156" s="4" t="s">
        <v>166</v>
      </c>
      <c r="C156" s="4" t="s">
        <v>68</v>
      </c>
      <c r="D156" s="6">
        <v>1000.0</v>
      </c>
      <c r="E156" s="8">
        <v>0.17</v>
      </c>
      <c r="F156" s="10" t="s">
        <v>167</v>
      </c>
      <c r="G156" s="10" t="s">
        <v>168</v>
      </c>
      <c r="H156" s="6">
        <v>98.0</v>
      </c>
      <c r="I156" s="12" t="s">
        <v>18</v>
      </c>
      <c r="J156" s="14" t="s">
        <v>18</v>
      </c>
      <c r="K156" s="16" t="s">
        <v>18</v>
      </c>
      <c r="L156" s="12">
        <v>1924346</v>
      </c>
      <c r="M156" s="14">
        <v>98.5</v>
      </c>
      <c r="N156" s="16">
        <f>yield(+WORKDAY(TODAY(),1,0),G156,E156,M156,100,2,1)</f>
      </c>
    </row>
    <row r="157" spans="1:14">
      <c r="A157" s="5" t="s">
        <v>169</v>
      </c>
      <c r="B157" s="5" t="s">
        <v>170</v>
      </c>
      <c r="C157" s="5" t="s">
        <v>68</v>
      </c>
      <c r="D157" s="7">
        <v>1000.0</v>
      </c>
      <c r="E157" s="9">
        <v>0.1725</v>
      </c>
      <c r="F157" s="11" t="s">
        <v>171</v>
      </c>
      <c r="G157" s="11" t="s">
        <v>172</v>
      </c>
      <c r="H157" s="7">
        <v>98.8</v>
      </c>
      <c r="I157" s="13">
        <v>1434</v>
      </c>
      <c r="J157" s="15">
        <v>95</v>
      </c>
      <c r="K157" s="17">
        <f>yield(+WORKDAY(TODAY(),1,0),G157,E157,J157,100,2,1)</f>
      </c>
      <c r="L157" s="13">
        <v>2930631</v>
      </c>
      <c r="M157" s="15">
        <v>98.8</v>
      </c>
      <c r="N157" s="17">
        <f>yield(+WORKDAY(TODAY(),1,0),G157,E157,M157,100,2,1)</f>
      </c>
    </row>
    <row r="158" spans="1:14">
      <c r="A158" s="4" t="s">
        <v>169</v>
      </c>
      <c r="B158" s="4" t="s">
        <v>170</v>
      </c>
      <c r="C158" s="4" t="s">
        <v>68</v>
      </c>
      <c r="D158" s="6">
        <v>1000.0</v>
      </c>
      <c r="E158" s="8">
        <v>0.1725</v>
      </c>
      <c r="F158" s="10" t="s">
        <v>171</v>
      </c>
      <c r="G158" s="10" t="s">
        <v>172</v>
      </c>
      <c r="H158" s="6">
        <v>98.8</v>
      </c>
      <c r="I158" s="12" t="s">
        <v>18</v>
      </c>
      <c r="J158" s="14" t="s">
        <v>18</v>
      </c>
      <c r="K158" s="16" t="s">
        <v>18</v>
      </c>
      <c r="L158" s="12">
        <v>6395</v>
      </c>
      <c r="M158" s="14">
        <v>100</v>
      </c>
      <c r="N158" s="16">
        <f>yield(+WORKDAY(TODAY(),1,0),G158,E158,M158,100,2,1)</f>
      </c>
    </row>
    <row r="159" spans="1:14">
      <c r="A159" s="5" t="s">
        <v>173</v>
      </c>
      <c r="B159" s="5" t="s">
        <v>174</v>
      </c>
      <c r="C159" s="5" t="s">
        <v>68</v>
      </c>
      <c r="D159" s="7">
        <v>1000.0</v>
      </c>
      <c r="E159" s="9">
        <v>0.1675</v>
      </c>
      <c r="F159" s="11" t="s">
        <v>60</v>
      </c>
      <c r="G159" s="11" t="s">
        <v>175</v>
      </c>
      <c r="H159" s="7">
        <v>101.0</v>
      </c>
      <c r="I159" s="13">
        <v>88</v>
      </c>
      <c r="J159" s="15">
        <v>95</v>
      </c>
      <c r="K159" s="17">
        <f>yield(+WORKDAY(TODAY(),1,0),G159,E159,J159,100,2,1)</f>
      </c>
      <c r="L159" s="13">
        <v>79</v>
      </c>
      <c r="M159" s="15">
        <v>101</v>
      </c>
      <c r="N159" s="17">
        <f>yield(+WORKDAY(TODAY(),1,0),G159,E159,M159,100,2,1)</f>
      </c>
    </row>
    <row r="160" spans="1:14">
      <c r="A160" s="4" t="s">
        <v>173</v>
      </c>
      <c r="B160" s="4" t="s">
        <v>174</v>
      </c>
      <c r="C160" s="4" t="s">
        <v>68</v>
      </c>
      <c r="D160" s="6">
        <v>1000.0</v>
      </c>
      <c r="E160" s="8">
        <v>0.1675</v>
      </c>
      <c r="F160" s="10" t="s">
        <v>60</v>
      </c>
      <c r="G160" s="10" t="s">
        <v>175</v>
      </c>
      <c r="H160" s="6">
        <v>101.0</v>
      </c>
      <c r="I160" s="12">
        <v>41</v>
      </c>
      <c r="J160" s="14">
        <v>94.5</v>
      </c>
      <c r="K160" s="16">
        <f>yield(+WORKDAY(TODAY(),1,0),G160,E160,J160,100,2,1)</f>
      </c>
      <c r="L160" s="12">
        <v>1664194</v>
      </c>
      <c r="M160" s="14">
        <v>101.916</v>
      </c>
      <c r="N160" s="16">
        <f>yield(+WORKDAY(TODAY(),1,0),G160,E160,M160,100,2,1)</f>
      </c>
    </row>
    <row r="161" spans="1:14">
      <c r="A161" s="5" t="s">
        <v>173</v>
      </c>
      <c r="B161" s="5" t="s">
        <v>174</v>
      </c>
      <c r="C161" s="5" t="s">
        <v>68</v>
      </c>
      <c r="D161" s="7">
        <v>1000.0</v>
      </c>
      <c r="E161" s="9">
        <v>0.1675</v>
      </c>
      <c r="F161" s="11" t="s">
        <v>60</v>
      </c>
      <c r="G161" s="11" t="s">
        <v>175</v>
      </c>
      <c r="H161" s="7">
        <v>101.0</v>
      </c>
      <c r="I161" s="13">
        <v>180</v>
      </c>
      <c r="J161" s="15">
        <v>94</v>
      </c>
      <c r="K161" s="17">
        <f>yield(+WORKDAY(TODAY(),1,0),G161,E161,J161,100,2,1)</f>
      </c>
      <c r="L161" s="13" t="s">
        <v>18</v>
      </c>
      <c r="M161" s="15" t="s">
        <v>18</v>
      </c>
      <c r="N161" s="17" t="s">
        <v>18</v>
      </c>
    </row>
    <row r="162" spans="1:14">
      <c r="A162" s="4" t="s">
        <v>176</v>
      </c>
      <c r="B162" s="4" t="s">
        <v>177</v>
      </c>
      <c r="C162" s="4" t="s">
        <v>68</v>
      </c>
      <c r="D162" s="6">
        <v>1000.0</v>
      </c>
      <c r="E162" s="8">
        <v>0.1675</v>
      </c>
      <c r="F162" s="10" t="s">
        <v>163</v>
      </c>
      <c r="G162" s="10" t="s">
        <v>178</v>
      </c>
      <c r="H162" s="6">
        <v>99.0</v>
      </c>
      <c r="I162" s="12" t="s">
        <v>18</v>
      </c>
      <c r="J162" s="14" t="s">
        <v>18</v>
      </c>
      <c r="K162" s="16" t="s">
        <v>18</v>
      </c>
      <c r="L162" s="12">
        <v>402912</v>
      </c>
      <c r="M162" s="14">
        <v>99</v>
      </c>
      <c r="N162" s="16">
        <f>yield(+WORKDAY(TODAY(),1,0),G162,E162,M162,100,2,1)</f>
      </c>
    </row>
    <row r="163" spans="1:14">
      <c r="A163" s="5" t="s">
        <v>179</v>
      </c>
      <c r="B163" s="5" t="s">
        <v>180</v>
      </c>
      <c r="C163" s="5" t="s">
        <v>68</v>
      </c>
      <c r="D163" s="7">
        <v>1000.0</v>
      </c>
      <c r="E163" s="9">
        <v>0.1725</v>
      </c>
      <c r="F163" s="11" t="s">
        <v>159</v>
      </c>
      <c r="G163" s="11" t="s">
        <v>160</v>
      </c>
      <c r="H163" s="7">
        <v>100.0</v>
      </c>
      <c r="I163" s="13">
        <v>3700</v>
      </c>
      <c r="J163" s="15">
        <v>100</v>
      </c>
      <c r="K163" s="17">
        <f>yield(+WORKDAY(TODAY(),1,0),G163,E163,J163,100,2,1)</f>
      </c>
      <c r="L163" s="13" t="s">
        <v>18</v>
      </c>
      <c r="M163" s="15" t="s">
        <v>18</v>
      </c>
      <c r="N163" s="17" t="s">
        <v>18</v>
      </c>
    </row>
    <row r="164" spans="1:14">
      <c r="A164" s="4" t="s">
        <v>181</v>
      </c>
      <c r="B164" s="4" t="s">
        <v>182</v>
      </c>
      <c r="C164" s="4" t="s">
        <v>68</v>
      </c>
      <c r="D164" s="6">
        <v>1000.0</v>
      </c>
      <c r="E164" s="8">
        <v>0.1675</v>
      </c>
      <c r="F164" s="10" t="s">
        <v>167</v>
      </c>
      <c r="G164" s="10" t="s">
        <v>183</v>
      </c>
      <c r="H164" s="6">
        <v>101.030000000000001</v>
      </c>
      <c r="I164" s="12" t="s">
        <v>18</v>
      </c>
      <c r="J164" s="14" t="s">
        <v>18</v>
      </c>
      <c r="K164" s="16" t="s">
        <v>18</v>
      </c>
      <c r="L164" s="12">
        <v>61043</v>
      </c>
      <c r="M164" s="14">
        <v>101.030000000000001</v>
      </c>
      <c r="N164" s="16">
        <f>yield(+WORKDAY(TODAY(),1,0),G164,E164,M164,100,2,1)</f>
      </c>
    </row>
    <row r="165" spans="1:14">
      <c r="A165" s="5" t="s">
        <v>184</v>
      </c>
      <c r="B165" s="5" t="s">
        <v>185</v>
      </c>
      <c r="C165" s="5" t="s">
        <v>68</v>
      </c>
      <c r="D165" s="7">
        <v>1000.0</v>
      </c>
      <c r="E165" s="9">
        <v>0.1725</v>
      </c>
      <c r="F165" s="11" t="s">
        <v>186</v>
      </c>
      <c r="G165" s="11" t="s">
        <v>187</v>
      </c>
      <c r="H165" s="7">
        <v>102.0</v>
      </c>
      <c r="I165" s="13" t="s">
        <v>18</v>
      </c>
      <c r="J165" s="15" t="s">
        <v>18</v>
      </c>
      <c r="K165" s="17" t="s">
        <v>18</v>
      </c>
      <c r="L165" s="13">
        <v>2923</v>
      </c>
      <c r="M165" s="15">
        <v>102</v>
      </c>
      <c r="N165" s="17">
        <f>yield(+WORKDAY(TODAY(),1,0),G165,E165,M165,100,2,1)</f>
      </c>
    </row>
    <row r="166" spans="1:14">
      <c r="A166" s="4" t="s">
        <v>188</v>
      </c>
      <c r="B166" s="4" t="s">
        <v>189</v>
      </c>
      <c r="C166" s="4" t="s">
        <v>68</v>
      </c>
      <c r="D166" s="6">
        <v>1000.0</v>
      </c>
      <c r="E166" s="8">
        <v>0.15</v>
      </c>
      <c r="F166" s="10" t="s">
        <v>190</v>
      </c>
      <c r="G166" s="10" t="s">
        <v>191</v>
      </c>
      <c r="H166" s="6">
        <v>97.0</v>
      </c>
      <c r="I166" s="12" t="s">
        <v>18</v>
      </c>
      <c r="J166" s="14" t="s">
        <v>18</v>
      </c>
      <c r="K166" s="16" t="s">
        <v>18</v>
      </c>
      <c r="L166" s="12">
        <v>86</v>
      </c>
      <c r="M166" s="14">
        <v>86</v>
      </c>
      <c r="N166" s="16">
        <f>yield(+WORKDAY(TODAY(),1,0),G166,E166,M166,100,2,1)</f>
      </c>
    </row>
    <row r="167" spans="1:14">
      <c r="A167" s="5" t="s">
        <v>188</v>
      </c>
      <c r="B167" s="5" t="s">
        <v>189</v>
      </c>
      <c r="C167" s="5" t="s">
        <v>68</v>
      </c>
      <c r="D167" s="7">
        <v>1000.0</v>
      </c>
      <c r="E167" s="9">
        <v>0.15</v>
      </c>
      <c r="F167" s="11" t="s">
        <v>190</v>
      </c>
      <c r="G167" s="11" t="s">
        <v>191</v>
      </c>
      <c r="H167" s="7">
        <v>97.0</v>
      </c>
      <c r="I167" s="13" t="s">
        <v>18</v>
      </c>
      <c r="J167" s="15" t="s">
        <v>18</v>
      </c>
      <c r="K167" s="17" t="s">
        <v>18</v>
      </c>
      <c r="L167" s="13">
        <v>4781102</v>
      </c>
      <c r="M167" s="15">
        <v>99.99299999999999</v>
      </c>
      <c r="N167" s="17">
        <f>yield(+WORKDAY(TODAY(),1,0),G167,E167,M167,100,2,1)</f>
      </c>
    </row>
    <row r="168" spans="1:14">
      <c r="A168" s="4" t="s">
        <v>192</v>
      </c>
      <c r="B168" s="4" t="s">
        <v>193</v>
      </c>
      <c r="C168" s="4" t="s">
        <v>68</v>
      </c>
      <c r="D168" s="6">
        <v>1000.0</v>
      </c>
      <c r="E168" s="8">
        <v>0.1525</v>
      </c>
      <c r="F168" s="10" t="s">
        <v>139</v>
      </c>
      <c r="G168" s="10" t="s">
        <v>194</v>
      </c>
      <c r="H168" s="6">
        <v>87.3</v>
      </c>
      <c r="I168" s="12">
        <v>20</v>
      </c>
      <c r="J168" s="14">
        <v>87.3</v>
      </c>
      <c r="K168" s="16">
        <f>yield(+WORKDAY(TODAY(),1,0),G168,E168,J168,100,2,1)</f>
      </c>
      <c r="L168" s="12">
        <v>22000</v>
      </c>
      <c r="M168" s="14">
        <v>91.3</v>
      </c>
      <c r="N168" s="16">
        <f>yield(+WORKDAY(TODAY(),1,0),G168,E168,M168,100,2,1)</f>
      </c>
    </row>
    <row r="169" spans="1:14">
      <c r="A169" s="5" t="s">
        <v>192</v>
      </c>
      <c r="B169" s="5" t="s">
        <v>193</v>
      </c>
      <c r="C169" s="5" t="s">
        <v>68</v>
      </c>
      <c r="D169" s="7">
        <v>1000.0</v>
      </c>
      <c r="E169" s="9">
        <v>0.1525</v>
      </c>
      <c r="F169" s="11" t="s">
        <v>139</v>
      </c>
      <c r="G169" s="11" t="s">
        <v>194</v>
      </c>
      <c r="H169" s="7">
        <v>87.3</v>
      </c>
      <c r="I169" s="13" t="s">
        <v>18</v>
      </c>
      <c r="J169" s="15" t="s">
        <v>18</v>
      </c>
      <c r="K169" s="17" t="s">
        <v>18</v>
      </c>
      <c r="L169" s="13">
        <v>19412</v>
      </c>
      <c r="M169" s="15">
        <v>91.45</v>
      </c>
      <c r="N169" s="17">
        <f>yield(+WORKDAY(TODAY(),1,0),G169,E169,M169,100,2,1)</f>
      </c>
    </row>
    <row r="170" spans="1:14">
      <c r="A170" s="4" t="s">
        <v>192</v>
      </c>
      <c r="B170" s="4" t="s">
        <v>193</v>
      </c>
      <c r="C170" s="4" t="s">
        <v>68</v>
      </c>
      <c r="D170" s="6">
        <v>1000.0</v>
      </c>
      <c r="E170" s="8">
        <v>0.1525</v>
      </c>
      <c r="F170" s="10" t="s">
        <v>139</v>
      </c>
      <c r="G170" s="10" t="s">
        <v>194</v>
      </c>
      <c r="H170" s="6">
        <v>87.3</v>
      </c>
      <c r="I170" s="12" t="s">
        <v>18</v>
      </c>
      <c r="J170" s="14" t="s">
        <v>18</v>
      </c>
      <c r="K170" s="16" t="s">
        <v>18</v>
      </c>
      <c r="L170" s="12">
        <v>15120</v>
      </c>
      <c r="M170" s="14">
        <v>91.98999999999999</v>
      </c>
      <c r="N170" s="16">
        <f>yield(+WORKDAY(TODAY(),1,0),G170,E170,M170,100,2,1)</f>
      </c>
    </row>
    <row r="171" spans="1:14">
      <c r="A171" s="5" t="s">
        <v>192</v>
      </c>
      <c r="B171" s="5" t="s">
        <v>193</v>
      </c>
      <c r="C171" s="5" t="s">
        <v>68</v>
      </c>
      <c r="D171" s="7">
        <v>1000.0</v>
      </c>
      <c r="E171" s="9">
        <v>0.1525</v>
      </c>
      <c r="F171" s="11" t="s">
        <v>139</v>
      </c>
      <c r="G171" s="11" t="s">
        <v>194</v>
      </c>
      <c r="H171" s="7">
        <v>87.3</v>
      </c>
      <c r="I171" s="13" t="s">
        <v>18</v>
      </c>
      <c r="J171" s="15" t="s">
        <v>18</v>
      </c>
      <c r="K171" s="17" t="s">
        <v>18</v>
      </c>
      <c r="L171" s="13">
        <v>93</v>
      </c>
      <c r="M171" s="15">
        <v>92.5</v>
      </c>
      <c r="N171" s="17">
        <f>yield(+WORKDAY(TODAY(),1,0),G171,E171,M171,100,2,1)</f>
      </c>
    </row>
    <row r="172" spans="1:14">
      <c r="A172" s="4" t="s">
        <v>192</v>
      </c>
      <c r="B172" s="4" t="s">
        <v>193</v>
      </c>
      <c r="C172" s="4" t="s">
        <v>68</v>
      </c>
      <c r="D172" s="6">
        <v>1000.0</v>
      </c>
      <c r="E172" s="8">
        <v>0.1525</v>
      </c>
      <c r="F172" s="10" t="s">
        <v>139</v>
      </c>
      <c r="G172" s="10" t="s">
        <v>194</v>
      </c>
      <c r="H172" s="6">
        <v>87.3</v>
      </c>
      <c r="I172" s="12" t="s">
        <v>18</v>
      </c>
      <c r="J172" s="14" t="s">
        <v>18</v>
      </c>
      <c r="K172" s="16" t="s">
        <v>18</v>
      </c>
      <c r="L172" s="12">
        <v>4880</v>
      </c>
      <c r="M172" s="14">
        <v>93.48999999999999</v>
      </c>
      <c r="N172" s="16">
        <f>yield(+WORKDAY(TODAY(),1,0),G172,E172,M172,100,2,1)</f>
      </c>
    </row>
    <row r="173" spans="1:14">
      <c r="A173" s="5" t="s">
        <v>192</v>
      </c>
      <c r="B173" s="5" t="s">
        <v>193</v>
      </c>
      <c r="C173" s="5" t="s">
        <v>68</v>
      </c>
      <c r="D173" s="7">
        <v>1000.0</v>
      </c>
      <c r="E173" s="9">
        <v>0.1525</v>
      </c>
      <c r="F173" s="11" t="s">
        <v>139</v>
      </c>
      <c r="G173" s="11" t="s">
        <v>194</v>
      </c>
      <c r="H173" s="7">
        <v>87.3</v>
      </c>
      <c r="I173" s="13" t="s">
        <v>18</v>
      </c>
      <c r="J173" s="15" t="s">
        <v>18</v>
      </c>
      <c r="K173" s="17" t="s">
        <v>18</v>
      </c>
      <c r="L173" s="13">
        <v>78904</v>
      </c>
      <c r="M173" s="15">
        <v>93.5</v>
      </c>
      <c r="N173" s="17">
        <f>yield(+WORKDAY(TODAY(),1,0),G173,E173,M173,100,2,1)</f>
      </c>
    </row>
    <row r="174" spans="1:14">
      <c r="A174" s="4" t="s">
        <v>192</v>
      </c>
      <c r="B174" s="4" t="s">
        <v>193</v>
      </c>
      <c r="C174" s="4" t="s">
        <v>68</v>
      </c>
      <c r="D174" s="6">
        <v>1000.0</v>
      </c>
      <c r="E174" s="8">
        <v>0.1525</v>
      </c>
      <c r="F174" s="10" t="s">
        <v>139</v>
      </c>
      <c r="G174" s="10" t="s">
        <v>194</v>
      </c>
      <c r="H174" s="6">
        <v>87.3</v>
      </c>
      <c r="I174" s="12" t="s">
        <v>18</v>
      </c>
      <c r="J174" s="14" t="s">
        <v>18</v>
      </c>
      <c r="K174" s="16" t="s">
        <v>18</v>
      </c>
      <c r="L174" s="12">
        <v>30043</v>
      </c>
      <c r="M174" s="14">
        <v>99.5</v>
      </c>
      <c r="N174" s="16">
        <f>yield(+WORKDAY(TODAY(),1,0),G174,E174,M174,100,2,1)</f>
      </c>
    </row>
    <row r="175" spans="1:14">
      <c r="A175" s="5" t="s">
        <v>192</v>
      </c>
      <c r="B175" s="5" t="s">
        <v>193</v>
      </c>
      <c r="C175" s="5" t="s">
        <v>68</v>
      </c>
      <c r="D175" s="7">
        <v>1000.0</v>
      </c>
      <c r="E175" s="9">
        <v>0.1525</v>
      </c>
      <c r="F175" s="11" t="s">
        <v>139</v>
      </c>
      <c r="G175" s="11" t="s">
        <v>194</v>
      </c>
      <c r="H175" s="7">
        <v>87.3</v>
      </c>
      <c r="I175" s="13" t="s">
        <v>18</v>
      </c>
      <c r="J175" s="15" t="s">
        <v>18</v>
      </c>
      <c r="K175" s="17" t="s">
        <v>18</v>
      </c>
      <c r="L175" s="13">
        <v>30</v>
      </c>
      <c r="M175" s="15">
        <v>100</v>
      </c>
      <c r="N175" s="17">
        <f>yield(+WORKDAY(TODAY(),1,0),G175,E175,M175,100,2,1)</f>
      </c>
    </row>
    <row r="176" spans="1:14">
      <c r="A176" s="4" t="s">
        <v>195</v>
      </c>
      <c r="B176" s="4" t="s">
        <v>196</v>
      </c>
      <c r="C176" s="4" t="s">
        <v>68</v>
      </c>
      <c r="D176" s="6">
        <v>1000.0</v>
      </c>
      <c r="E176" s="8">
        <v>0.1525</v>
      </c>
      <c r="F176" s="10" t="s">
        <v>197</v>
      </c>
      <c r="G176" s="10" t="s">
        <v>198</v>
      </c>
      <c r="H176" s="6">
        <v>89.5</v>
      </c>
      <c r="I176" s="12">
        <v>3137</v>
      </c>
      <c r="J176" s="14">
        <v>89.5</v>
      </c>
      <c r="K176" s="16">
        <f>yield(+WORKDAY(TODAY(),1,0),G176,E176,J176,100,2,1)</f>
      </c>
      <c r="L176" s="12" t="s">
        <v>18</v>
      </c>
      <c r="M176" s="14" t="s">
        <v>18</v>
      </c>
      <c r="N176" s="16" t="s">
        <v>18</v>
      </c>
    </row>
    <row r="177" spans="1:14">
      <c r="A177" s="5" t="s">
        <v>199</v>
      </c>
      <c r="B177" s="5" t="s">
        <v>200</v>
      </c>
      <c r="C177" s="5" t="s">
        <v>68</v>
      </c>
      <c r="D177" s="7">
        <v>1000.0</v>
      </c>
      <c r="E177" s="9">
        <v>0.17</v>
      </c>
      <c r="F177" s="11" t="s">
        <v>201</v>
      </c>
      <c r="G177" s="11" t="s">
        <v>202</v>
      </c>
      <c r="H177" s="7">
        <v>97.2</v>
      </c>
      <c r="I177" s="13">
        <v>50</v>
      </c>
      <c r="J177" s="15">
        <v>97.2</v>
      </c>
      <c r="K177" s="17">
        <f>yield(+WORKDAY(TODAY(),1,0),G177,E177,J177,100,2,1)</f>
      </c>
      <c r="L177" s="13">
        <v>943</v>
      </c>
      <c r="M177" s="15">
        <v>100</v>
      </c>
      <c r="N177" s="17">
        <f>yield(+WORKDAY(TODAY(),1,0),G177,E177,M177,100,2,1)</f>
      </c>
    </row>
    <row r="178" spans="1:14">
      <c r="A178" s="4" t="s">
        <v>203</v>
      </c>
      <c r="B178" s="4" t="s">
        <v>204</v>
      </c>
      <c r="C178" s="4" t="s">
        <v>68</v>
      </c>
      <c r="D178" s="6">
        <v>1000.0</v>
      </c>
      <c r="E178" s="8">
        <v>0.17</v>
      </c>
      <c r="F178" s="10" t="s">
        <v>205</v>
      </c>
      <c r="G178" s="10" t="s">
        <v>206</v>
      </c>
      <c r="H178" s="6">
        <v>96.95999999999999</v>
      </c>
      <c r="I178" s="12">
        <v>80</v>
      </c>
      <c r="J178" s="14">
        <v>96.95999999999999</v>
      </c>
      <c r="K178" s="16">
        <f>yield(+WORKDAY(TODAY(),1,0),G178,E178,J178,100,2,1)</f>
      </c>
      <c r="L178" s="12" t="s">
        <v>18</v>
      </c>
      <c r="M178" s="14" t="s">
        <v>18</v>
      </c>
      <c r="N178" s="16" t="s">
        <v>18</v>
      </c>
    </row>
    <row r="179" spans="1:14">
      <c r="A179" s="5" t="s">
        <v>207</v>
      </c>
      <c r="B179" s="5" t="s">
        <v>208</v>
      </c>
      <c r="C179" s="5" t="s">
        <v>68</v>
      </c>
      <c r="D179" s="7">
        <v>1000.0</v>
      </c>
      <c r="E179" s="9">
        <v>0.166</v>
      </c>
      <c r="F179" s="11" t="s">
        <v>209</v>
      </c>
      <c r="G179" s="11" t="s">
        <v>210</v>
      </c>
      <c r="H179" s="7">
        <v>99.045000000000002</v>
      </c>
      <c r="I179" s="13">
        <v>20</v>
      </c>
      <c r="J179" s="15">
        <v>100</v>
      </c>
      <c r="K179" s="17">
        <f>yield(+WORKDAY(TODAY(),1,0),G179,E179,J179,100,2,1)</f>
      </c>
      <c r="L179" s="13">
        <v>7473991</v>
      </c>
      <c r="M179" s="15">
        <v>101</v>
      </c>
      <c r="N179" s="17">
        <f>yield(+WORKDAY(TODAY(),1,0),G179,E179,M179,100,2,1)</f>
      </c>
    </row>
    <row r="180" spans="1:14">
      <c r="A180" s="4" t="s">
        <v>211</v>
      </c>
      <c r="B180" s="4" t="s">
        <v>212</v>
      </c>
      <c r="C180" s="4" t="s">
        <v>68</v>
      </c>
      <c r="D180" s="6">
        <v>1000.0</v>
      </c>
      <c r="E180" s="8">
        <v>0.1675</v>
      </c>
      <c r="F180" s="10" t="s">
        <v>163</v>
      </c>
      <c r="G180" s="10" t="s">
        <v>178</v>
      </c>
      <c r="H180" s="6">
        <v>102.072000000000003</v>
      </c>
      <c r="I180" s="12">
        <v>4000000</v>
      </c>
      <c r="J180" s="14">
        <v>96.349</v>
      </c>
      <c r="K180" s="16">
        <f>yield(+WORKDAY(TODAY(),1,0),G180,E180,J180,100,2,1)</f>
      </c>
      <c r="L180" s="12">
        <v>8970948</v>
      </c>
      <c r="M180" s="14">
        <v>102.072000000000003</v>
      </c>
      <c r="N180" s="16">
        <f>yield(+WORKDAY(TODAY(),1,0),G180,E180,M180,100,2,1)</f>
      </c>
    </row>
    <row r="181" spans="1:14">
      <c r="A181" s="5" t="s">
        <v>213</v>
      </c>
      <c r="B181" s="5" t="s">
        <v>214</v>
      </c>
      <c r="C181" s="5" t="s">
        <v>68</v>
      </c>
      <c r="D181" s="7">
        <v>1000.0</v>
      </c>
      <c r="E181" s="9">
        <v>0.1675</v>
      </c>
      <c r="F181" s="11" t="s">
        <v>215</v>
      </c>
      <c r="G181" s="11" t="s">
        <v>152</v>
      </c>
      <c r="H181" s="7">
        <v>97.0</v>
      </c>
      <c r="I181" s="13">
        <v>20</v>
      </c>
      <c r="J181" s="15">
        <v>97</v>
      </c>
      <c r="K181" s="17">
        <f>yield(+WORKDAY(TODAY(),1,0),G181,E181,J181,100,2,1)</f>
      </c>
      <c r="L181" s="13">
        <v>4192</v>
      </c>
      <c r="M181" s="15">
        <v>100</v>
      </c>
      <c r="N181" s="17">
        <f>yield(+WORKDAY(TODAY(),1,0),G181,E181,M181,100,2,1)</f>
      </c>
    </row>
    <row r="182" spans="1:14">
      <c r="A182" s="4" t="s">
        <v>213</v>
      </c>
      <c r="B182" s="4" t="s">
        <v>214</v>
      </c>
      <c r="C182" s="4" t="s">
        <v>68</v>
      </c>
      <c r="D182" s="6">
        <v>1000.0</v>
      </c>
      <c r="E182" s="8">
        <v>0.1675</v>
      </c>
      <c r="F182" s="10" t="s">
        <v>215</v>
      </c>
      <c r="G182" s="10" t="s">
        <v>152</v>
      </c>
      <c r="H182" s="6">
        <v>97.0</v>
      </c>
      <c r="I182" s="12" t="s">
        <v>18</v>
      </c>
      <c r="J182" s="14" t="s">
        <v>18</v>
      </c>
      <c r="K182" s="16" t="s">
        <v>18</v>
      </c>
      <c r="L182" s="12">
        <v>36268</v>
      </c>
      <c r="M182" s="14">
        <v>101.161</v>
      </c>
      <c r="N182" s="16">
        <f>yield(+WORKDAY(TODAY(),1,0),G182,E182,M182,100,2,1)</f>
      </c>
    </row>
    <row r="183" spans="1:14">
      <c r="A183" s="5" t="s">
        <v>216</v>
      </c>
      <c r="B183" s="5" t="s">
        <v>217</v>
      </c>
      <c r="C183" s="5" t="s">
        <v>68</v>
      </c>
      <c r="D183" s="7">
        <v>1000.0</v>
      </c>
      <c r="E183" s="9">
        <v>0.1675</v>
      </c>
      <c r="F183" s="11" t="s">
        <v>215</v>
      </c>
      <c r="G183" s="11" t="s">
        <v>218</v>
      </c>
      <c r="H183" s="7">
        <v>101.316</v>
      </c>
      <c r="I183" s="13">
        <v>2501693</v>
      </c>
      <c r="J183" s="15">
        <v>94.843</v>
      </c>
      <c r="K183" s="17">
        <f>yield(+WORKDAY(TODAY(),1,0),G183,E183,J183,100,2,1)</f>
      </c>
      <c r="L183" s="13">
        <v>2501693</v>
      </c>
      <c r="M183" s="15">
        <v>101.316</v>
      </c>
      <c r="N183" s="17">
        <f>yield(+WORKDAY(TODAY(),1,0),G183,E183,M183,100,2,1)</f>
      </c>
    </row>
    <row r="184" spans="1:14">
      <c r="A184" s="4" t="s">
        <v>219</v>
      </c>
      <c r="B184" s="4" t="s">
        <v>220</v>
      </c>
      <c r="C184" s="4" t="s">
        <v>68</v>
      </c>
      <c r="D184" s="6">
        <v>1000.0</v>
      </c>
      <c r="E184" s="8">
        <v>0.1725</v>
      </c>
      <c r="F184" s="10" t="s">
        <v>221</v>
      </c>
      <c r="G184" s="10" t="s">
        <v>222</v>
      </c>
      <c r="H184" s="6">
        <v>101.3</v>
      </c>
      <c r="I184" s="12">
        <v>15</v>
      </c>
      <c r="J184" s="14">
        <v>100</v>
      </c>
      <c r="K184" s="16">
        <f>yield(+WORKDAY(TODAY(),1,0),G184,E184,J184,100,2,1)</f>
      </c>
      <c r="L184" s="12">
        <v>6216429</v>
      </c>
      <c r="M184" s="14">
        <v>101.3</v>
      </c>
      <c r="N184" s="16">
        <f>yield(+WORKDAY(TODAY(),1,0),G184,E184,M184,100,2,1)</f>
      </c>
    </row>
    <row r="185" spans="1:14">
      <c r="A185" s="5" t="s">
        <v>219</v>
      </c>
      <c r="B185" s="5" t="s">
        <v>220</v>
      </c>
      <c r="C185" s="5" t="s">
        <v>68</v>
      </c>
      <c r="D185" s="7">
        <v>1000.0</v>
      </c>
      <c r="E185" s="9">
        <v>0.1725</v>
      </c>
      <c r="F185" s="11" t="s">
        <v>221</v>
      </c>
      <c r="G185" s="11" t="s">
        <v>222</v>
      </c>
      <c r="H185" s="7">
        <v>101.3</v>
      </c>
      <c r="I185" s="13">
        <v>1000</v>
      </c>
      <c r="J185" s="15">
        <v>97</v>
      </c>
      <c r="K185" s="17">
        <f>yield(+WORKDAY(TODAY(),1,0),G185,E185,J185,100,2,1)</f>
      </c>
      <c r="L185" s="13" t="s">
        <v>18</v>
      </c>
      <c r="M185" s="15" t="s">
        <v>18</v>
      </c>
      <c r="N185" s="17" t="s">
        <v>18</v>
      </c>
    </row>
    <row r="186" spans="1:14">
      <c r="A186" s="4" t="s">
        <v>219</v>
      </c>
      <c r="B186" s="4" t="s">
        <v>220</v>
      </c>
      <c r="C186" s="4" t="s">
        <v>68</v>
      </c>
      <c r="D186" s="6">
        <v>1000.0</v>
      </c>
      <c r="E186" s="8">
        <v>0.1725</v>
      </c>
      <c r="F186" s="10" t="s">
        <v>221</v>
      </c>
      <c r="G186" s="10" t="s">
        <v>222</v>
      </c>
      <c r="H186" s="6">
        <v>101.3</v>
      </c>
      <c r="I186" s="12">
        <v>1100</v>
      </c>
      <c r="J186" s="14">
        <v>96.8</v>
      </c>
      <c r="K186" s="16">
        <f>yield(+WORKDAY(TODAY(),1,0),G186,E186,J186,100,2,1)</f>
      </c>
      <c r="L186" s="12" t="s">
        <v>18</v>
      </c>
      <c r="M186" s="14" t="s">
        <v>18</v>
      </c>
      <c r="N186" s="16" t="s">
        <v>18</v>
      </c>
    </row>
    <row r="187" spans="1:14">
      <c r="A187" s="5" t="s">
        <v>219</v>
      </c>
      <c r="B187" s="5" t="s">
        <v>220</v>
      </c>
      <c r="C187" s="5" t="s">
        <v>68</v>
      </c>
      <c r="D187" s="7">
        <v>1000.0</v>
      </c>
      <c r="E187" s="9">
        <v>0.1725</v>
      </c>
      <c r="F187" s="11" t="s">
        <v>221</v>
      </c>
      <c r="G187" s="11" t="s">
        <v>222</v>
      </c>
      <c r="H187" s="7">
        <v>101.3</v>
      </c>
      <c r="I187" s="13">
        <v>2550</v>
      </c>
      <c r="J187" s="15">
        <v>96</v>
      </c>
      <c r="K187" s="17">
        <f>yield(+WORKDAY(TODAY(),1,0),G187,E187,J187,100,2,1)</f>
      </c>
      <c r="L187" s="13" t="s">
        <v>18</v>
      </c>
      <c r="M187" s="15" t="s">
        <v>18</v>
      </c>
      <c r="N187" s="17" t="s">
        <v>18</v>
      </c>
    </row>
    <row r="188" spans="1:14">
      <c r="A188" s="4" t="s">
        <v>219</v>
      </c>
      <c r="B188" s="4" t="s">
        <v>220</v>
      </c>
      <c r="C188" s="4" t="s">
        <v>68</v>
      </c>
      <c r="D188" s="6">
        <v>1000.0</v>
      </c>
      <c r="E188" s="8">
        <v>0.1725</v>
      </c>
      <c r="F188" s="10" t="s">
        <v>221</v>
      </c>
      <c r="G188" s="10" t="s">
        <v>222</v>
      </c>
      <c r="H188" s="6">
        <v>101.3</v>
      </c>
      <c r="I188" s="12">
        <v>91</v>
      </c>
      <c r="J188" s="14">
        <v>94.5</v>
      </c>
      <c r="K188" s="16">
        <f>yield(+WORKDAY(TODAY(),1,0),G188,E188,J188,100,2,1)</f>
      </c>
      <c r="L188" s="12" t="s">
        <v>18</v>
      </c>
      <c r="M188" s="14" t="s">
        <v>18</v>
      </c>
      <c r="N188" s="16" t="s">
        <v>18</v>
      </c>
    </row>
    <row r="189" spans="1:14">
      <c r="A189" s="5" t="s">
        <v>219</v>
      </c>
      <c r="B189" s="5" t="s">
        <v>220</v>
      </c>
      <c r="C189" s="5" t="s">
        <v>68</v>
      </c>
      <c r="D189" s="7">
        <v>1000.0</v>
      </c>
      <c r="E189" s="9">
        <v>0.1725</v>
      </c>
      <c r="F189" s="11" t="s">
        <v>221</v>
      </c>
      <c r="G189" s="11" t="s">
        <v>222</v>
      </c>
      <c r="H189" s="7">
        <v>101.3</v>
      </c>
      <c r="I189" s="13">
        <v>25</v>
      </c>
      <c r="J189" s="15">
        <v>94</v>
      </c>
      <c r="K189" s="17">
        <f>yield(+WORKDAY(TODAY(),1,0),G189,E189,J189,100,2,1)</f>
      </c>
      <c r="L189" s="13" t="s">
        <v>18</v>
      </c>
      <c r="M189" s="15" t="s">
        <v>18</v>
      </c>
      <c r="N189" s="17" t="s">
        <v>18</v>
      </c>
    </row>
    <row r="190" spans="1:14">
      <c r="A190" s="4" t="s">
        <v>223</v>
      </c>
      <c r="B190" s="4" t="s">
        <v>224</v>
      </c>
      <c r="C190" s="4" t="s">
        <v>68</v>
      </c>
      <c r="D190" s="6">
        <v>1000.0</v>
      </c>
      <c r="E190" s="8">
        <v>0.14</v>
      </c>
      <c r="F190" s="10" t="s">
        <v>225</v>
      </c>
      <c r="G190" s="10" t="s">
        <v>226</v>
      </c>
      <c r="H190" s="6">
        <v>100.0</v>
      </c>
      <c r="I190" s="12">
        <v>2921790</v>
      </c>
      <c r="J190" s="14">
        <v>98.30500000000001</v>
      </c>
      <c r="K190" s="16">
        <f>yield(+WORKDAY(TODAY(),1,0),G190,E190,J190,100,2,1)</f>
      </c>
      <c r="L190" s="12">
        <v>2921790</v>
      </c>
      <c r="M190" s="14">
        <v>100.5</v>
      </c>
      <c r="N190" s="16">
        <f>yield(+WORKDAY(TODAY(),1,0),G190,E190,M190,100,2,1)</f>
      </c>
    </row>
    <row r="191" spans="1:14">
      <c r="A191" s="5" t="s">
        <v>227</v>
      </c>
      <c r="B191" s="5" t="s">
        <v>228</v>
      </c>
      <c r="C191" s="5" t="s">
        <v>68</v>
      </c>
      <c r="D191" s="7">
        <v>1000.0</v>
      </c>
      <c r="E191" s="9">
        <v>0.14</v>
      </c>
      <c r="F191" s="11" t="s">
        <v>229</v>
      </c>
      <c r="G191" s="11" t="s">
        <v>230</v>
      </c>
      <c r="H191" s="7">
        <v>98.15000000000001</v>
      </c>
      <c r="I191" s="13" t="s">
        <v>18</v>
      </c>
      <c r="J191" s="15" t="s">
        <v>18</v>
      </c>
      <c r="K191" s="17" t="s">
        <v>18</v>
      </c>
      <c r="L191" s="13">
        <v>9807</v>
      </c>
      <c r="M191" s="15">
        <v>98.15000000000001</v>
      </c>
      <c r="N191" s="17">
        <f>yield(+WORKDAY(TODAY(),1,0),G191,E191,M191,100,2,1)</f>
      </c>
    </row>
    <row r="192" spans="1:14">
      <c r="A192" s="4" t="s">
        <v>227</v>
      </c>
      <c r="B192" s="4" t="s">
        <v>228</v>
      </c>
      <c r="C192" s="4" t="s">
        <v>68</v>
      </c>
      <c r="D192" s="6">
        <v>1000.0</v>
      </c>
      <c r="E192" s="8">
        <v>0.14</v>
      </c>
      <c r="F192" s="10" t="s">
        <v>229</v>
      </c>
      <c r="G192" s="10" t="s">
        <v>230</v>
      </c>
      <c r="H192" s="6">
        <v>98.15000000000001</v>
      </c>
      <c r="I192" s="12" t="s">
        <v>18</v>
      </c>
      <c r="J192" s="14" t="s">
        <v>18</v>
      </c>
      <c r="K192" s="16" t="s">
        <v>18</v>
      </c>
      <c r="L192" s="12">
        <v>3000000</v>
      </c>
      <c r="M192" s="14">
        <v>100.59999999999999</v>
      </c>
      <c r="N192" s="16">
        <f>yield(+WORKDAY(TODAY(),1,0),G192,E192,M192,100,2,1)</f>
      </c>
    </row>
    <row r="193" spans="1:14">
      <c r="A193" s="5" t="s">
        <v>231</v>
      </c>
      <c r="B193" s="5" t="s">
        <v>232</v>
      </c>
      <c r="C193" s="5" t="s">
        <v>68</v>
      </c>
      <c r="D193" s="7">
        <v>1000.0</v>
      </c>
      <c r="E193" s="9">
        <v>0.1675</v>
      </c>
      <c r="F193" s="11" t="s">
        <v>64</v>
      </c>
      <c r="G193" s="11" t="s">
        <v>233</v>
      </c>
      <c r="H193" s="7">
        <v>101.626</v>
      </c>
      <c r="I193" s="13">
        <v>4200000</v>
      </c>
      <c r="J193" s="15">
        <v>96.236</v>
      </c>
      <c r="K193" s="17">
        <f>yield(+WORKDAY(TODAY(),1,0),G193,E193,J193,100,2,1)</f>
      </c>
      <c r="L193" s="13">
        <v>4200000</v>
      </c>
      <c r="M193" s="15">
        <v>101.626</v>
      </c>
      <c r="N193" s="17">
        <f>yield(+WORKDAY(TODAY(),1,0),G193,E193,M193,100,2,1)</f>
      </c>
    </row>
    <row r="194" spans="1:14">
      <c r="A194" s="4" t="s">
        <v>234</v>
      </c>
      <c r="B194" s="4" t="s">
        <v>235</v>
      </c>
      <c r="C194" s="4" t="s">
        <v>68</v>
      </c>
      <c r="D194" s="6">
        <v>1000.0</v>
      </c>
      <c r="E194" s="8">
        <v>0.1725</v>
      </c>
      <c r="F194" s="10" t="s">
        <v>221</v>
      </c>
      <c r="G194" s="10" t="s">
        <v>236</v>
      </c>
      <c r="H194" s="6">
        <v>100.0</v>
      </c>
      <c r="I194" s="12" t="s">
        <v>18</v>
      </c>
      <c r="J194" s="14" t="s">
        <v>18</v>
      </c>
      <c r="K194" s="16" t="s">
        <v>18</v>
      </c>
      <c r="L194" s="12">
        <v>4900000</v>
      </c>
      <c r="M194" s="14">
        <v>101.127</v>
      </c>
      <c r="N194" s="16">
        <f>yield(+WORKDAY(TODAY(),1,0),G194,E194,M194,100,2,1)</f>
      </c>
    </row>
    <row r="195" spans="1:14">
      <c r="A195" s="5" t="s">
        <v>237</v>
      </c>
      <c r="B195" s="5" t="s">
        <v>238</v>
      </c>
      <c r="C195" s="5" t="s">
        <v>68</v>
      </c>
      <c r="D195" s="7">
        <v>1000.0</v>
      </c>
      <c r="E195" s="9">
        <v>0.1725</v>
      </c>
      <c r="F195" s="11" t="s">
        <v>239</v>
      </c>
      <c r="G195" s="11" t="s">
        <v>240</v>
      </c>
      <c r="H195" s="7">
        <v>101.392</v>
      </c>
      <c r="I195" s="13">
        <v>20</v>
      </c>
      <c r="J195" s="15">
        <v>101.39</v>
      </c>
      <c r="K195" s="17">
        <f>yield(+WORKDAY(TODAY(),1,0),G195,E195,J195,100,2,1)</f>
      </c>
      <c r="L195" s="13">
        <v>449975</v>
      </c>
      <c r="M195" s="15">
        <v>101.392</v>
      </c>
      <c r="N195" s="17">
        <f>yield(+WORKDAY(TODAY(),1,0),G195,E195,M195,100,2,1)</f>
      </c>
    </row>
    <row r="196" spans="1:14">
      <c r="A196" s="4" t="s">
        <v>237</v>
      </c>
      <c r="B196" s="4" t="s">
        <v>238</v>
      </c>
      <c r="C196" s="4" t="s">
        <v>68</v>
      </c>
      <c r="D196" s="6">
        <v>1000.0</v>
      </c>
      <c r="E196" s="8">
        <v>0.1725</v>
      </c>
      <c r="F196" s="10" t="s">
        <v>239</v>
      </c>
      <c r="G196" s="10" t="s">
        <v>240</v>
      </c>
      <c r="H196" s="6">
        <v>101.392</v>
      </c>
      <c r="I196" s="12">
        <v>1500</v>
      </c>
      <c r="J196" s="14">
        <v>91</v>
      </c>
      <c r="K196" s="16">
        <f>yield(+WORKDAY(TODAY(),1,0),G196,E196,J196,100,2,1)</f>
      </c>
      <c r="L196" s="12" t="s">
        <v>18</v>
      </c>
      <c r="M196" s="14" t="s">
        <v>18</v>
      </c>
      <c r="N196" s="16" t="s">
        <v>18</v>
      </c>
    </row>
    <row r="197" spans="1:14">
      <c r="A197" s="5" t="s">
        <v>241</v>
      </c>
      <c r="B197" s="5" t="s">
        <v>242</v>
      </c>
      <c r="C197" s="5" t="s">
        <v>68</v>
      </c>
      <c r="D197" s="7">
        <v>1000.0</v>
      </c>
      <c r="E197" s="9">
        <v>0.1725</v>
      </c>
      <c r="F197" s="11" t="s">
        <v>243</v>
      </c>
      <c r="G197" s="11" t="s">
        <v>244</v>
      </c>
      <c r="H197" s="7">
        <v>99.90000000000001</v>
      </c>
      <c r="I197" s="13">
        <v>6410</v>
      </c>
      <c r="J197" s="15">
        <v>95.34999999999999</v>
      </c>
      <c r="K197" s="17">
        <f>yield(+WORKDAY(TODAY(),1,0),G197,E197,J197,100,2,1)</f>
      </c>
      <c r="L197" s="13">
        <v>500</v>
      </c>
      <c r="M197" s="15">
        <v>99.8</v>
      </c>
      <c r="N197" s="17">
        <f>yield(+WORKDAY(TODAY(),1,0),G197,E197,M197,100,2,1)</f>
      </c>
    </row>
    <row r="198" spans="1:14">
      <c r="A198" s="4" t="s">
        <v>241</v>
      </c>
      <c r="B198" s="4" t="s">
        <v>242</v>
      </c>
      <c r="C198" s="4" t="s">
        <v>68</v>
      </c>
      <c r="D198" s="6">
        <v>1000.0</v>
      </c>
      <c r="E198" s="8">
        <v>0.1725</v>
      </c>
      <c r="F198" s="10" t="s">
        <v>243</v>
      </c>
      <c r="G198" s="10" t="s">
        <v>244</v>
      </c>
      <c r="H198" s="6">
        <v>99.90000000000001</v>
      </c>
      <c r="I198" s="12" t="s">
        <v>18</v>
      </c>
      <c r="J198" s="14" t="s">
        <v>18</v>
      </c>
      <c r="K198" s="16" t="s">
        <v>18</v>
      </c>
      <c r="L198" s="12">
        <v>386254</v>
      </c>
      <c r="M198" s="14">
        <v>99.90000000000001</v>
      </c>
      <c r="N198" s="16">
        <f>yield(+WORKDAY(TODAY(),1,0),G198,E198,M198,100,2,1)</f>
      </c>
    </row>
    <row r="199" spans="1:14">
      <c r="A199" s="5" t="s">
        <v>241</v>
      </c>
      <c r="B199" s="5" t="s">
        <v>242</v>
      </c>
      <c r="C199" s="5" t="s">
        <v>68</v>
      </c>
      <c r="D199" s="7">
        <v>1000.0</v>
      </c>
      <c r="E199" s="9">
        <v>0.1725</v>
      </c>
      <c r="F199" s="11" t="s">
        <v>243</v>
      </c>
      <c r="G199" s="11" t="s">
        <v>244</v>
      </c>
      <c r="H199" s="7">
        <v>99.90000000000001</v>
      </c>
      <c r="I199" s="13" t="s">
        <v>18</v>
      </c>
      <c r="J199" s="15" t="s">
        <v>18</v>
      </c>
      <c r="K199" s="17" t="s">
        <v>18</v>
      </c>
      <c r="L199" s="13">
        <v>141</v>
      </c>
      <c r="M199" s="15">
        <v>100</v>
      </c>
      <c r="N199" s="17">
        <f>yield(+WORKDAY(TODAY(),1,0),G199,E199,M199,100,2,1)</f>
      </c>
    </row>
    <row r="200" spans="1:14">
      <c r="A200" s="4" t="s">
        <v>245</v>
      </c>
      <c r="B200" s="4" t="s">
        <v>246</v>
      </c>
      <c r="C200" s="4" t="s">
        <v>68</v>
      </c>
      <c r="D200" s="6">
        <v>1000.0</v>
      </c>
      <c r="E200" s="8">
        <v>0.1725</v>
      </c>
      <c r="F200" s="10" t="s">
        <v>247</v>
      </c>
      <c r="G200" s="10" t="s">
        <v>248</v>
      </c>
      <c r="H200" s="6">
        <v>100.23</v>
      </c>
      <c r="I200" s="12">
        <v>110</v>
      </c>
      <c r="J200" s="14">
        <v>99</v>
      </c>
      <c r="K200" s="16">
        <f>yield(+WORKDAY(TODAY(),1,0),G200,E200,J200,100,2,1)</f>
      </c>
      <c r="L200" s="12">
        <v>2850</v>
      </c>
      <c r="M200" s="14">
        <v>100</v>
      </c>
      <c r="N200" s="16">
        <f>yield(+WORKDAY(TODAY(),1,0),G200,E200,M200,100,2,1)</f>
      </c>
    </row>
    <row r="201" spans="1:14">
      <c r="A201" s="5" t="s">
        <v>245</v>
      </c>
      <c r="B201" s="5" t="s">
        <v>246</v>
      </c>
      <c r="C201" s="5" t="s">
        <v>68</v>
      </c>
      <c r="D201" s="7">
        <v>1000.0</v>
      </c>
      <c r="E201" s="9">
        <v>0.1725</v>
      </c>
      <c r="F201" s="11" t="s">
        <v>247</v>
      </c>
      <c r="G201" s="11" t="s">
        <v>248</v>
      </c>
      <c r="H201" s="7">
        <v>100.23</v>
      </c>
      <c r="I201" s="13" t="s">
        <v>18</v>
      </c>
      <c r="J201" s="15" t="s">
        <v>18</v>
      </c>
      <c r="K201" s="17" t="s">
        <v>18</v>
      </c>
      <c r="L201" s="13">
        <v>4994673</v>
      </c>
      <c r="M201" s="15">
        <v>100.23</v>
      </c>
      <c r="N201" s="17">
        <f>yield(+WORKDAY(TODAY(),1,0),G201,E201,M201,100,2,1)</f>
      </c>
    </row>
    <row r="202" spans="1:14">
      <c r="A202" s="4" t="s">
        <v>245</v>
      </c>
      <c r="B202" s="4" t="s">
        <v>246</v>
      </c>
      <c r="C202" s="4" t="s">
        <v>68</v>
      </c>
      <c r="D202" s="6">
        <v>1000.0</v>
      </c>
      <c r="E202" s="8">
        <v>0.1725</v>
      </c>
      <c r="F202" s="10" t="s">
        <v>247</v>
      </c>
      <c r="G202" s="10" t="s">
        <v>248</v>
      </c>
      <c r="H202" s="6">
        <v>100.23</v>
      </c>
      <c r="I202" s="12" t="s">
        <v>18</v>
      </c>
      <c r="J202" s="14" t="s">
        <v>18</v>
      </c>
      <c r="K202" s="16" t="s">
        <v>18</v>
      </c>
      <c r="L202" s="12">
        <v>947</v>
      </c>
      <c r="M202" s="14">
        <v>105</v>
      </c>
      <c r="N202" s="16">
        <f>yield(+WORKDAY(TODAY(),1,0),G202,E202,M202,100,2,1)</f>
      </c>
    </row>
    <row r="203" spans="1:14">
      <c r="A203" s="5" t="s">
        <v>249</v>
      </c>
      <c r="B203" s="5" t="s">
        <v>250</v>
      </c>
      <c r="C203" s="5" t="s">
        <v>68</v>
      </c>
      <c r="D203" s="7">
        <v>1000.0</v>
      </c>
      <c r="E203" s="9">
        <v>0.1675</v>
      </c>
      <c r="F203" s="11" t="s">
        <v>64</v>
      </c>
      <c r="G203" s="11" t="s">
        <v>251</v>
      </c>
      <c r="H203" s="7">
        <v>96.0</v>
      </c>
      <c r="I203" s="13" t="s">
        <v>18</v>
      </c>
      <c r="J203" s="15" t="s">
        <v>18</v>
      </c>
      <c r="K203" s="17" t="s">
        <v>18</v>
      </c>
      <c r="L203" s="13">
        <v>2569</v>
      </c>
      <c r="M203" s="15">
        <v>97</v>
      </c>
      <c r="N203" s="17">
        <f>yield(+WORKDAY(TODAY(),1,0),G203,E203,M203,100,2,1)</f>
      </c>
    </row>
    <row r="204" spans="1:14">
      <c r="A204" s="4" t="s">
        <v>252</v>
      </c>
      <c r="B204" s="4" t="s">
        <v>253</v>
      </c>
      <c r="C204" s="4" t="s">
        <v>68</v>
      </c>
      <c r="D204" s="6">
        <v>1000.0</v>
      </c>
      <c r="E204" s="8">
        <v>0.1725</v>
      </c>
      <c r="F204" s="10" t="s">
        <v>215</v>
      </c>
      <c r="G204" s="10" t="s">
        <v>254</v>
      </c>
      <c r="H204" s="6">
        <v>91.5</v>
      </c>
      <c r="I204" s="12" t="s">
        <v>18</v>
      </c>
      <c r="J204" s="14" t="s">
        <v>18</v>
      </c>
      <c r="K204" s="16" t="s">
        <v>18</v>
      </c>
      <c r="L204" s="12">
        <v>7732104</v>
      </c>
      <c r="M204" s="14">
        <v>100.72</v>
      </c>
      <c r="N204" s="16">
        <f>yield(+WORKDAY(TODAY(),1,0),G204,E204,M204,100,2,1)</f>
      </c>
    </row>
    <row r="205" spans="1:14">
      <c r="A205" s="5" t="s">
        <v>255</v>
      </c>
      <c r="B205" s="5" t="s">
        <v>256</v>
      </c>
      <c r="C205" s="5" t="s">
        <v>68</v>
      </c>
      <c r="D205" s="7">
        <v>1000.0</v>
      </c>
      <c r="E205" s="9">
        <v>0.1675</v>
      </c>
      <c r="F205" s="11" t="s">
        <v>257</v>
      </c>
      <c r="G205" s="11" t="s">
        <v>258</v>
      </c>
      <c r="H205" s="7">
        <v>98.0</v>
      </c>
      <c r="I205" s="13">
        <v>5100</v>
      </c>
      <c r="J205" s="15">
        <v>97</v>
      </c>
      <c r="K205" s="17">
        <f>yield(+WORKDAY(TODAY(),1,0),G205,E205,J205,100,2,1)</f>
      </c>
      <c r="L205" s="13">
        <v>4495</v>
      </c>
      <c r="M205" s="15">
        <v>97.999</v>
      </c>
      <c r="N205" s="17">
        <f>yield(+WORKDAY(TODAY(),1,0),G205,E205,M205,100,2,1)</f>
      </c>
    </row>
    <row r="206" spans="1:14">
      <c r="A206" s="4" t="s">
        <v>255</v>
      </c>
      <c r="B206" s="4" t="s">
        <v>256</v>
      </c>
      <c r="C206" s="4" t="s">
        <v>68</v>
      </c>
      <c r="D206" s="6">
        <v>1000.0</v>
      </c>
      <c r="E206" s="8">
        <v>0.1675</v>
      </c>
      <c r="F206" s="10" t="s">
        <v>257</v>
      </c>
      <c r="G206" s="10" t="s">
        <v>258</v>
      </c>
      <c r="H206" s="6">
        <v>98.0</v>
      </c>
      <c r="I206" s="12" t="s">
        <v>18</v>
      </c>
      <c r="J206" s="14" t="s">
        <v>18</v>
      </c>
      <c r="K206" s="16" t="s">
        <v>18</v>
      </c>
      <c r="L206" s="12">
        <v>977090</v>
      </c>
      <c r="M206" s="14">
        <v>99</v>
      </c>
      <c r="N206" s="16">
        <f>yield(+WORKDAY(TODAY(),1,0),G206,E206,M206,100,2,1)</f>
      </c>
    </row>
    <row r="207" spans="1:14">
      <c r="A207" s="5" t="s">
        <v>259</v>
      </c>
      <c r="B207" s="5" t="s">
        <v>260</v>
      </c>
      <c r="C207" s="5" t="s">
        <v>68</v>
      </c>
      <c r="D207" s="7">
        <v>1000.0</v>
      </c>
      <c r="E207" s="9">
        <v>0.163</v>
      </c>
      <c r="F207" s="11" t="s">
        <v>167</v>
      </c>
      <c r="G207" s="11" t="s">
        <v>261</v>
      </c>
      <c r="H207" s="7">
        <v>100.36499999999999</v>
      </c>
      <c r="I207" s="13">
        <v>778154</v>
      </c>
      <c r="J207" s="15">
        <v>98.129</v>
      </c>
      <c r="K207" s="17">
        <f>yield(+WORKDAY(TODAY(),1,0),G207,E207,J207,100,2,1)</f>
      </c>
      <c r="L207" s="13">
        <v>778154</v>
      </c>
      <c r="M207" s="15">
        <v>100.36499999999999</v>
      </c>
      <c r="N207" s="17">
        <f>yield(+WORKDAY(TODAY(),1,0),G207,E207,M207,100,2,1)</f>
      </c>
    </row>
    <row r="208" spans="1:14">
      <c r="A208" s="4" t="s">
        <v>262</v>
      </c>
      <c r="B208" s="4" t="s">
        <v>263</v>
      </c>
      <c r="C208" s="4" t="s">
        <v>68</v>
      </c>
      <c r="D208" s="6">
        <v>1000.0</v>
      </c>
      <c r="E208" s="8">
        <v>0.1725</v>
      </c>
      <c r="F208" s="10" t="s">
        <v>215</v>
      </c>
      <c r="G208" s="10" t="s">
        <v>254</v>
      </c>
      <c r="H208" s="6">
        <v>99.974</v>
      </c>
      <c r="I208" s="12" t="s">
        <v>18</v>
      </c>
      <c r="J208" s="14" t="s">
        <v>18</v>
      </c>
      <c r="K208" s="16" t="s">
        <v>18</v>
      </c>
      <c r="L208" s="12">
        <v>2029</v>
      </c>
      <c r="M208" s="14">
        <v>99.97</v>
      </c>
      <c r="N208" s="16">
        <f>yield(+WORKDAY(TODAY(),1,0),G208,E208,M208,100,2,1)</f>
      </c>
    </row>
    <row r="209" spans="1:14">
      <c r="A209" s="5" t="s">
        <v>262</v>
      </c>
      <c r="B209" s="5" t="s">
        <v>263</v>
      </c>
      <c r="C209" s="5" t="s">
        <v>68</v>
      </c>
      <c r="D209" s="7">
        <v>1000.0</v>
      </c>
      <c r="E209" s="9">
        <v>0.1725</v>
      </c>
      <c r="F209" s="11" t="s">
        <v>215</v>
      </c>
      <c r="G209" s="11" t="s">
        <v>254</v>
      </c>
      <c r="H209" s="7">
        <v>99.974</v>
      </c>
      <c r="I209" s="13" t="s">
        <v>18</v>
      </c>
      <c r="J209" s="15" t="s">
        <v>18</v>
      </c>
      <c r="K209" s="17" t="s">
        <v>18</v>
      </c>
      <c r="L209" s="13">
        <v>4907500</v>
      </c>
      <c r="M209" s="15">
        <v>100.099999999999994</v>
      </c>
      <c r="N209" s="17">
        <f>yield(+WORKDAY(TODAY(),1,0),G209,E209,M209,100,2,1)</f>
      </c>
    </row>
    <row r="210" spans="1:14">
      <c r="A210" s="4" t="s">
        <v>264</v>
      </c>
      <c r="B210" s="4" t="s">
        <v>265</v>
      </c>
      <c r="C210" s="4" t="s">
        <v>68</v>
      </c>
      <c r="D210" s="6">
        <v>1000.0</v>
      </c>
      <c r="E210" s="8">
        <v>0.1675</v>
      </c>
      <c r="F210" s="10" t="s">
        <v>266</v>
      </c>
      <c r="G210" s="10" t="s">
        <v>267</v>
      </c>
      <c r="H210" s="6">
        <v>97.98</v>
      </c>
      <c r="I210" s="12" t="s">
        <v>18</v>
      </c>
      <c r="J210" s="14" t="s">
        <v>18</v>
      </c>
      <c r="K210" s="16" t="s">
        <v>18</v>
      </c>
      <c r="L210" s="12">
        <v>2400000</v>
      </c>
      <c r="M210" s="14">
        <v>100.26000000000001</v>
      </c>
      <c r="N210" s="16">
        <f>yield(+WORKDAY(TODAY(),1,0),G210,E210,M210,100,2,1)</f>
      </c>
    </row>
    <row r="211" spans="1:14">
      <c r="A211" s="5" t="s">
        <v>268</v>
      </c>
      <c r="B211" s="5" t="s">
        <v>269</v>
      </c>
      <c r="C211" s="5" t="s">
        <v>68</v>
      </c>
      <c r="D211" s="7">
        <v>1000.0</v>
      </c>
      <c r="E211" s="9">
        <v>0.1725</v>
      </c>
      <c r="F211" s="11" t="s">
        <v>270</v>
      </c>
      <c r="G211" s="11" t="s">
        <v>45</v>
      </c>
      <c r="H211" s="7">
        <v>97.95</v>
      </c>
      <c r="I211" s="13">
        <v>240000</v>
      </c>
      <c r="J211" s="15">
        <v>95</v>
      </c>
      <c r="K211" s="17">
        <f>yield(+WORKDAY(TODAY(),1,0),G211,E211,J211,100,2,1)</f>
      </c>
      <c r="L211" s="13">
        <v>711632</v>
      </c>
      <c r="M211" s="15">
        <v>97.95</v>
      </c>
      <c r="N211" s="17">
        <f>yield(+WORKDAY(TODAY(),1,0),G211,E211,M211,100,2,1)</f>
      </c>
    </row>
    <row r="212" spans="1:14">
      <c r="A212" s="4" t="s">
        <v>268</v>
      </c>
      <c r="B212" s="4" t="s">
        <v>269</v>
      </c>
      <c r="C212" s="4" t="s">
        <v>68</v>
      </c>
      <c r="D212" s="6">
        <v>1000.0</v>
      </c>
      <c r="E212" s="8">
        <v>0.1725</v>
      </c>
      <c r="F212" s="10" t="s">
        <v>270</v>
      </c>
      <c r="G212" s="10" t="s">
        <v>45</v>
      </c>
      <c r="H212" s="6">
        <v>97.95</v>
      </c>
      <c r="I212" s="12">
        <v>1045128</v>
      </c>
      <c r="J212" s="14">
        <v>94</v>
      </c>
      <c r="K212" s="16">
        <f>yield(+WORKDAY(TODAY(),1,0),G212,E212,J212,100,2,1)</f>
      </c>
      <c r="L212" s="12">
        <v>43871</v>
      </c>
      <c r="M212" s="14">
        <v>99.59999999999999</v>
      </c>
      <c r="N212" s="16">
        <f>yield(+WORKDAY(TODAY(),1,0),G212,E212,M212,100,2,1)</f>
      </c>
    </row>
    <row r="213" spans="1:14">
      <c r="A213" s="5" t="s">
        <v>268</v>
      </c>
      <c r="B213" s="5" t="s">
        <v>269</v>
      </c>
      <c r="C213" s="5" t="s">
        <v>68</v>
      </c>
      <c r="D213" s="7">
        <v>1000.0</v>
      </c>
      <c r="E213" s="9">
        <v>0.1725</v>
      </c>
      <c r="F213" s="11" t="s">
        <v>270</v>
      </c>
      <c r="G213" s="11" t="s">
        <v>45</v>
      </c>
      <c r="H213" s="7">
        <v>97.95</v>
      </c>
      <c r="I213" s="13" t="s">
        <v>18</v>
      </c>
      <c r="J213" s="15" t="s">
        <v>18</v>
      </c>
      <c r="K213" s="17" t="s">
        <v>18</v>
      </c>
      <c r="L213" s="13">
        <v>28169</v>
      </c>
      <c r="M213" s="15">
        <v>99.8</v>
      </c>
      <c r="N213" s="17">
        <f>yield(+WORKDAY(TODAY(),1,0),G213,E213,M213,100,2,1)</f>
      </c>
    </row>
    <row r="214" spans="1:14">
      <c r="A214" s="4" t="s">
        <v>268</v>
      </c>
      <c r="B214" s="4" t="s">
        <v>269</v>
      </c>
      <c r="C214" s="4" t="s">
        <v>68</v>
      </c>
      <c r="D214" s="6">
        <v>1000.0</v>
      </c>
      <c r="E214" s="8">
        <v>0.1725</v>
      </c>
      <c r="F214" s="10" t="s">
        <v>270</v>
      </c>
      <c r="G214" s="10" t="s">
        <v>45</v>
      </c>
      <c r="H214" s="6">
        <v>97.95</v>
      </c>
      <c r="I214" s="12" t="s">
        <v>18</v>
      </c>
      <c r="J214" s="14" t="s">
        <v>18</v>
      </c>
      <c r="K214" s="16" t="s">
        <v>18</v>
      </c>
      <c r="L214" s="12">
        <v>6085000</v>
      </c>
      <c r="M214" s="14">
        <v>100.401</v>
      </c>
      <c r="N214" s="16">
        <f>yield(+WORKDAY(TODAY(),1,0),G214,E214,M214,100,2,1)</f>
      </c>
    </row>
    <row r="215" spans="1:14">
      <c r="A215" s="5" t="s">
        <v>271</v>
      </c>
      <c r="B215" s="5" t="s">
        <v>272</v>
      </c>
      <c r="C215" s="5" t="s">
        <v>68</v>
      </c>
      <c r="D215" s="7">
        <v>1000.0</v>
      </c>
      <c r="E215" s="9">
        <v>0.1675</v>
      </c>
      <c r="F215" s="11" t="s">
        <v>60</v>
      </c>
      <c r="G215" s="11" t="s">
        <v>61</v>
      </c>
      <c r="H215" s="7">
        <v>96.0</v>
      </c>
      <c r="I215" s="13">
        <v>200</v>
      </c>
      <c r="J215" s="15">
        <v>95.5</v>
      </c>
      <c r="K215" s="17">
        <f>yield(+WORKDAY(TODAY(),1,0),G215,E215,J215,100,2,1)</f>
      </c>
      <c r="L215" s="13">
        <v>2899</v>
      </c>
      <c r="M215" s="15">
        <v>97</v>
      </c>
      <c r="N215" s="17">
        <f>yield(+WORKDAY(TODAY(),1,0),G215,E215,M215,100,2,1)</f>
      </c>
    </row>
    <row r="216" spans="1:14">
      <c r="A216" s="4" t="s">
        <v>273</v>
      </c>
      <c r="B216" s="4" t="s">
        <v>274</v>
      </c>
      <c r="C216" s="4" t="s">
        <v>68</v>
      </c>
      <c r="D216" s="6">
        <v>1000.0</v>
      </c>
      <c r="E216" s="8">
        <v>0.1675</v>
      </c>
      <c r="F216" s="10" t="s">
        <v>275</v>
      </c>
      <c r="G216" s="10" t="s">
        <v>276</v>
      </c>
      <c r="H216" s="6">
        <v>97.0</v>
      </c>
      <c r="I216" s="12">
        <v>3750</v>
      </c>
      <c r="J216" s="14">
        <v>94</v>
      </c>
      <c r="K216" s="16">
        <f>yield(+WORKDAY(TODAY(),1,0),G216,E216,J216,100,2,1)</f>
      </c>
      <c r="L216" s="12">
        <v>3539959</v>
      </c>
      <c r="M216" s="14">
        <v>97</v>
      </c>
      <c r="N216" s="16">
        <f>yield(+WORKDAY(TODAY(),1,0),G216,E216,M216,100,2,1)</f>
      </c>
    </row>
    <row r="217" spans="1:14">
      <c r="A217" s="5" t="s">
        <v>277</v>
      </c>
      <c r="B217" s="5" t="s">
        <v>278</v>
      </c>
      <c r="C217" s="5" t="s">
        <v>68</v>
      </c>
      <c r="D217" s="7">
        <v>1000.0</v>
      </c>
      <c r="E217" s="9">
        <v>0.1775</v>
      </c>
      <c r="F217" s="11" t="s">
        <v>279</v>
      </c>
      <c r="G217" s="11" t="s">
        <v>280</v>
      </c>
      <c r="H217" s="7">
        <v>100.0</v>
      </c>
      <c r="I217" s="13" t="s">
        <v>18</v>
      </c>
      <c r="J217" s="15" t="s">
        <v>18</v>
      </c>
      <c r="K217" s="17" t="s">
        <v>18</v>
      </c>
      <c r="L217" s="13">
        <v>25076</v>
      </c>
      <c r="M217" s="15">
        <v>103</v>
      </c>
      <c r="N217" s="17">
        <f>yield(+WORKDAY(TODAY(),1,0),G217,E217,M217,100,2,1)</f>
      </c>
    </row>
    <row r="218" spans="1:14" customHeight="1" ht="80">
      <c r="A218" s="1" t="inlineStr">
        <is>
          <r>
            <rPr>
              <rFont val="Calibri"/>
              <b val="true"/>
              <i val="true"/>
              <strike val="false"/>
              <color rgb="FFFF0000"/>
              <sz val="11"/>
              <u val="single"/>
            </rPr>
            <t xml:space="preserve">Disclaimer: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Todos os esforços razoáveis foram feitos para garantir que as informações neste documento estejam correctas no momento da publicação. No entanto, a BODIVA SGMR S.A não aceita qualquer responsabilidade por decisões tomadas, ou relacionadas a sistemas ou outros trabalhos realizados por qualquer parte com base neste documento. Este documento não é uma recomendação de investimento, não constitui qualquer tipo de aconselhamento, nem é uma oferta de compra e venda ou tem como intenção solicitar uma oferta de compra ou de venda de instrumentos financeiros. Adicionalmente, para as acções admitidas a negociação os dividendos pagos correspondem ao último exercício.</t>
          </r>
        </is>
      </c>
    </row>
  </sheetData>
  <mergeCells>
    <mergeCell ref="A1:N1"/>
    <mergeCell ref="I2:K2"/>
    <mergeCell ref="L2:N2"/>
    <mergeCell ref="A2:H2"/>
    <mergeCell ref="A218:N21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Ordens Disponíveis no Mercado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2026-05-26T12:44:59+01:00</dcterms:created>
  <dcterms:modified xsi:type="dcterms:W3CDTF">2026-05-26T12:44:59+01:00</dcterms:modified>
  <dc:title>Untitled Spreadsheet</dc:title>
  <dc:description/>
  <dc:subject/>
  <cp:keywords/>
  <cp:category/>
</cp:coreProperties>
</file>